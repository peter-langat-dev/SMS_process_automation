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AP\Youtube ready\"/>
    </mc:Choice>
  </mc:AlternateContent>
  <xr:revisionPtr revIDLastSave="0" documentId="13_ncr:1_{EE0F9691-816A-4DE9-AA4C-7D866A1A2089}" xr6:coauthVersionLast="47" xr6:coauthVersionMax="47" xr10:uidLastSave="{00000000-0000-0000-0000-000000000000}"/>
  <bookViews>
    <workbookView xWindow="-120" yWindow="-120" windowWidth="20730" windowHeight="11040" firstSheet="3" activeTab="6" xr2:uid="{1F0990D5-D1D8-4116-BC9E-CF6938FCC95C}"/>
  </bookViews>
  <sheets>
    <sheet name="SourceData" sheetId="1" r:id="rId1"/>
    <sheet name="Bills" sheetId="2" r:id="rId2"/>
    <sheet name="BillsSummary by Date" sheetId="9" r:id="rId3"/>
    <sheet name="Transport" sheetId="3" r:id="rId4"/>
    <sheet name="Pettycash" sheetId="5" r:id="rId5"/>
    <sheet name="Meals" sheetId="6" r:id="rId6"/>
    <sheet name="PivotChart" sheetId="10" r:id="rId7"/>
    <sheet name="PivotReport" sheetId="7" r:id="rId8"/>
  </sheets>
  <definedNames>
    <definedName name="_xlcn.WorksheetConnection_MpesaProcessAutomation.xlsxPivotReport1" hidden="1">PivotReport[]</definedName>
    <definedName name="ExternalData_1" localSheetId="1" hidden="1">Bills!$A$1:$F$17</definedName>
    <definedName name="ExternalData_1" localSheetId="2" hidden="1">'BillsSummary by Date'!$B$3:$C$7</definedName>
    <definedName name="ExternalData_1" localSheetId="5" hidden="1">Meals!$A$1:$F$37</definedName>
    <definedName name="ExternalData_1" localSheetId="4" hidden="1">Pettycash!#REF!</definedName>
    <definedName name="ExternalData_1" localSheetId="7" hidden="1">PivotReport!$A$3:$F$66</definedName>
    <definedName name="ExternalData_1" localSheetId="3" hidden="1">Transport!$A$1:$F$10</definedName>
    <definedName name="ExternalData_2" localSheetId="2" hidden="1">'BillsSummary by Date'!#REF!</definedName>
    <definedName name="ExternalData_2" localSheetId="4" hidden="1">Pettycash!$A$1:$F$3</definedName>
  </definedNames>
  <calcPr calcId="191029"/>
  <pivotCaches>
    <pivotCache cacheId="100" r:id="rId9"/>
    <pivotCache cacheId="105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ivotReport" name="PivotReport" connection="WorksheetConnection_Mpesa Process Automation.xlsx!PivotReport"/>
        </x15:modelTables>
        <x15:extLst>
          <ext xmlns:x16="http://schemas.microsoft.com/office/spreadsheetml/2014/11/main" uri="{9835A34E-60A6-4A7C-AAB8-D5F71C897F49}">
            <x16:modelTimeGroupings>
              <x16:modelTimeGrouping tableName="PivotReport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" i="2" l="1"/>
  <c r="C8" i="9"/>
  <c r="F11" i="3"/>
  <c r="F4" i="5"/>
  <c r="F38" i="6"/>
  <c r="F67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E400E1-A935-4A63-9E56-3A0A5E5C3D73}" keepAlive="1" name="Query - Bills" description="Connection to the 'Bills' query in the workbook." type="5" refreshedVersion="7" background="1" saveData="1">
    <dbPr connection="Provider=Microsoft.Mashup.OleDb.1;Data Source=$Workbook$;Location=Bills;Extended Properties=&quot;&quot;" command="SELECT * FROM [Bills]"/>
  </connection>
  <connection id="2" xr16:uid="{053130D5-56A9-44FE-A678-D4716F5AFFEB}" keepAlive="1" name="Query - BillsSummary" description="Connection to the 'BillsSummary' query in the workbook." type="5" refreshedVersion="7" background="1" saveData="1">
    <dbPr connection="Provider=Microsoft.Mashup.OleDb.1;Data Source=$Workbook$;Location=BillsSummary;Extended Properties=&quot;&quot;" command="SELECT * FROM [BillsSummary]"/>
  </connection>
  <connection id="3" xr16:uid="{D66530F1-D2C4-46CE-A8E9-AFED047FE1FE}" keepAlive="1" name="Query - Meals" description="Connection to the 'Meals' query in the workbook." type="5" refreshedVersion="7" background="1" saveData="1">
    <dbPr connection="Provider=Microsoft.Mashup.OleDb.1;Data Source=$Workbook$;Location=Meals;Extended Properties=&quot;&quot;" command="SELECT * FROM [Meals]"/>
  </connection>
  <connection id="4" xr16:uid="{C26FA67A-E565-4725-BF8E-4E9D643E6A43}" keepAlive="1" name="Query - PettyCash" description="Connection to the 'PettyCash' query in the workbook." type="5" refreshedVersion="7" background="1" saveData="1">
    <dbPr connection="Provider=Microsoft.Mashup.OleDb.1;Data Source=$Workbook$;Location=PettyCash;Extended Properties=&quot;&quot;" command="SELECT * FROM [PettyCash]"/>
  </connection>
  <connection id="5" xr16:uid="{6B90B56B-E64D-4F63-9E0A-E9756F03A964}" keepAlive="1" name="Query - PivotReport" description="Connection to the 'PivotReport' query in the workbook." type="5" refreshedVersion="7" background="1" saveData="1">
    <dbPr connection="Provider=Microsoft.Mashup.OleDb.1;Data Source=$Workbook$;Location=PivotReport;Extended Properties=&quot;&quot;" command="SELECT * FROM [PivotReport]"/>
  </connection>
  <connection id="6" xr16:uid="{F269D130-E3D5-43EA-BD40-F81291A21283}" keepAlive="1" name="Query - SourceData" description="Connection to the 'SourceData' query in the workbook." type="5" refreshedVersion="0" background="1">
    <dbPr connection="Provider=Microsoft.Mashup.OleDb.1;Data Source=$Workbook$;Location=SourceData;Extended Properties=&quot;&quot;" command="SELECT * FROM [SourceData]"/>
  </connection>
  <connection id="7" xr16:uid="{52C0EE5F-A279-41F7-997F-F44C3E9147A6}" keepAlive="1" name="Query - Transport" description="Connection to the 'Transport' query in the workbook." type="5" refreshedVersion="7" background="1" saveData="1">
    <dbPr connection="Provider=Microsoft.Mashup.OleDb.1;Data Source=$Workbook$;Location=Transport;Extended Properties=&quot;&quot;" command="SELECT * FROM [Transport]"/>
  </connection>
  <connection id="8" xr16:uid="{E5DC6FF0-FA66-4F74-BC8C-777D18370802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9" xr16:uid="{828C6CA5-C8FB-468C-854A-78BD4DC236DA}" name="WorksheetConnection_Mpesa Process Automation.xlsx!PivotReport" type="102" refreshedVersion="7" minRefreshableVersion="5">
    <extLst>
      <ext xmlns:x15="http://schemas.microsoft.com/office/spreadsheetml/2010/11/main" uri="{DE250136-89BD-433C-8126-D09CA5730AF9}">
        <x15:connection id="PivotReport" autoDelete="1">
          <x15:rangePr sourceName="_xlcn.WorksheetConnection_MpesaProcessAutomation.xlsxPivotReport1"/>
        </x15:connection>
      </ext>
    </extLst>
  </connection>
</connections>
</file>

<file path=xl/sharedStrings.xml><?xml version="1.0" encoding="utf-8"?>
<sst xmlns="http://schemas.openxmlformats.org/spreadsheetml/2006/main" count="510" uniqueCount="141">
  <si>
    <t>BILLS</t>
  </si>
  <si>
    <t>Date</t>
  </si>
  <si>
    <t>Time</t>
  </si>
  <si>
    <t>Mpesa Ref</t>
  </si>
  <si>
    <t>Amount</t>
  </si>
  <si>
    <t>UFL378WGEP</t>
  </si>
  <si>
    <t>UFLNR8WM5K</t>
  </si>
  <si>
    <t>UFLL78GSL5</t>
  </si>
  <si>
    <t>UFLQG8KHQO</t>
  </si>
  <si>
    <t>UFLPM8TOBC</t>
  </si>
  <si>
    <t>UFL1P8V0JW</t>
  </si>
  <si>
    <t>UFL198FTMJ</t>
  </si>
  <si>
    <t>UFLKB8CRYO</t>
  </si>
  <si>
    <t>UFL8A8C2IL</t>
  </si>
  <si>
    <t>UFL978KPL7</t>
  </si>
  <si>
    <t>UFLQR8HBOS</t>
  </si>
  <si>
    <t>UFL748IQFC</t>
  </si>
  <si>
    <t>UFL8U8LZRF</t>
  </si>
  <si>
    <t>UIT958FC0K Confirmed. Your account balance was: M-PESA Account : Ksh144.54 M-PESA Pochi Account : Ksh0.00 on 29/9/26 at 5:51 PM. Transaction cost, Ksh0.00. Buy &amp; sell NSE shares NOW with ZIIDI Trader on https://saf.cx/gkMQq</t>
  </si>
  <si>
    <t>UIS958BZ30 Confirmed. Ksh30.00 paid to GSU DRIVE IN. on 28/9/26 at 8:56 PM.New M-PESA balance is Ksh154.54. Transaction cost, Ksh0.00. Amount you can transact within the day is 499,705.00. See all your balances now https://saf.cx/kWQpy</t>
  </si>
  <si>
    <t>UID1P6LHXS</t>
  </si>
  <si>
    <t>UHU1P4XMTL</t>
  </si>
  <si>
    <t>UHN1P44MJQ</t>
  </si>
  <si>
    <t>Dear PETER , Transaction Ref: 20090210279 of KES 5,000.00 from A/c 1*****2946 to A/c 1*****4378 on 29/09/2026 is Completed Bank Ref: FT2627274VRS.</t>
  </si>
  <si>
    <t>Ksh 90.00 sent to KCB Pay Bill 522522 for account 131***4240 TRANSPORT has been received on 21/06/2026 at 03:11 PM. M-PESA ref UFL978KPL7. To reverse this transaction, SMS this message to 16120.</t>
  </si>
  <si>
    <t>Ksh 250.00 sent to KCB Pay Bill 522522 for account 131***4240 TRANSPORT has been received on 21/06/2026 at 03:12 PM. M-PESA ref UFLQR8HBOS. To reverse this transaction, SMS this message to 16120.</t>
  </si>
  <si>
    <t>Ksh 500.00 sent to KCB Pay Bill 522522 for account 131***4240 TRANSPORT has been received on 21/06/2026 at 03:11 PM. M-PESA ref UFL748IQFC. To reverse this transaction, SMS this message to 16120.</t>
  </si>
  <si>
    <t>Ksh 200.00 sent to KCB Pay Bill 522522 for account 131***4240 TRANSPORT has been received on 21/06/2026 at 03:11 PM. M-PESA ref UFL8U8LZRF. To reverse this transaction, SMS this message to 16120.</t>
  </si>
  <si>
    <t>Ksh 100.00 sent to KCB Pay Bill 522522 for account 131***4240 TRANSPORT has been received on 11/10/2026 at 11:32 AM. M-PESA ref UJB979QXA4. To reverse this transaction, SMS this message to 16120.</t>
  </si>
  <si>
    <t>130***1750</t>
  </si>
  <si>
    <t>131***4240</t>
  </si>
  <si>
    <t>UJB979QXA4</t>
  </si>
  <si>
    <t>RECEIPT</t>
  </si>
  <si>
    <t>UHNFV48KL4</t>
  </si>
  <si>
    <t>133***6248</t>
  </si>
  <si>
    <t>Ksh 100.00 sent to KCB Pay Bill 522522 for account 130***1750 BILLS has been received on 21/06/2026 at 03:10 PM. M-PESA ref UFL378WGEP. To reverse this transaction, SMS this message to 16120.</t>
  </si>
  <si>
    <t>Ksh 200.00 sent to KCB Pay Bill 522522 for account 130***1750 BILLS has been received on 21/06/2026 at 03:10 PM. M-PESA ref UFLNR8WM5K. To reverse this transaction, SMS this message to 16120.</t>
  </si>
  <si>
    <t>Ksh 200.00 sent to KCB Pay Bill 522522 for account 130***1750 BILLS has been received on 21/06/2026 at 03:12 PM. M-PESA ref UFLL78GSL5. To reverse this transaction, SMS this message to 16120.</t>
  </si>
  <si>
    <t>Ksh 500.00 sent to KCB Pay Bill 522522 for account 130***1750 BILLS has been received on 21/06/2026 at 03:11 PM. M-PESA ref UFLQG8KHQO. To reverse this transaction, SMS this message to 16120.</t>
  </si>
  <si>
    <t>Ksh 200.00 sent to KCB Pay Bill 522522 for account 130***1750 BILLS has been received on 21/06/2026 at 03:11 PM. M-PESA ref UFLPM8TOBC. To reverse this transaction, SMS this message to 16120.</t>
  </si>
  <si>
    <t>Ksh 110.00 sent to KCB Pay Bill 522522 for account 130***1750 BILLS has been received on 21/06/2026 at 03:07 PM. M-PESA ref UFL1P8V0JW. To reverse this transaction, SMS this message to 16120.</t>
  </si>
  <si>
    <t>Ksh 30.00 sent to KCB Pay Bill 522522 for account 130***1750 BILLS has been received on 21/06/2026 at 03:10 PM. M-PESA ref UFL198FTMJ. To reverse this transaction, SMS this message to 16120.</t>
  </si>
  <si>
    <t>Ksh 500.00 sent to KCB Pay Bill 522522 for account 130***1750 BILLS has been received on 21/06/2026 at 03:08 PM. M-PESA ref UFLKB8CRYO. To reverse this transaction, SMS this message to 16120.</t>
  </si>
  <si>
    <t>Ksh 200.00 sent to KCB Pay Bill 522522 for account 130***1750 BILLS has been received on 21/06/2026 at 03:10 PM. M-PESA ref UFL8A8C2IL. To reverse this transaction, SMS this message to 16120.</t>
  </si>
  <si>
    <t>Ksh 110.00 sent to KCB Pay Bill 522522 for account 130***1750 BILLS has been received on 13/09/2026 at 01:15 PM. M-PESA ref UID1P6LHXS. To reverse this transaction, SMS this message to 16120.</t>
  </si>
  <si>
    <t>Ksh 80.00 sent to KCB Pay Bill 522522 for account 130***1750 BILLS has been received on 30/08/2026 at 01:51 PM. M-PESA ref UHU1P4XMTL. To reverse this transaction, SMS this message to 16120.</t>
  </si>
  <si>
    <t>Ksh 150.00 sent to KCB Pay Bill 522522 for account 130***1750 BILLS has been received on 23/08/2026 at 02:35 PM. M-PESA ref UHN1P44MJQ. To reverse this transaction, SMS this message to 16120.</t>
  </si>
  <si>
    <t>Ksh 100.00 sent to KCB Pay Bill 522522 for account 133***6248 PETTYCASH has been received on 23/08/2026 at 11:26 AM. M-PESA ref UHNFV48KL4. To reverse this transaction, SMS this message to 16120.</t>
  </si>
  <si>
    <t>PETTYCASH</t>
  </si>
  <si>
    <t>PAYMENT TYPE</t>
  </si>
  <si>
    <t>MEALS</t>
  </si>
  <si>
    <t>UFEC87KACQ</t>
  </si>
  <si>
    <t>UFEIX7ROQK</t>
  </si>
  <si>
    <t>UFE5G8582U</t>
  </si>
  <si>
    <t>UFER47AMPL</t>
  </si>
  <si>
    <t>UFELD7ITQJ</t>
  </si>
  <si>
    <t>UFEH57WBD4</t>
  </si>
  <si>
    <t>UFE747PY80</t>
  </si>
  <si>
    <t>UFE8T7UPCS</t>
  </si>
  <si>
    <t>UFEK57RYCK</t>
  </si>
  <si>
    <t>UFEOD80BXY</t>
  </si>
  <si>
    <t>UFEIF7V45Z</t>
  </si>
  <si>
    <t>UFEKM7PG23</t>
  </si>
  <si>
    <t>UFEOS822I8</t>
  </si>
  <si>
    <t>UFE847MPH5</t>
  </si>
  <si>
    <t>UFE5H7WEX1</t>
  </si>
  <si>
    <t>UFEJN7OH38</t>
  </si>
  <si>
    <t>UFEL77NPHF</t>
  </si>
  <si>
    <t>UFEKV7VVAS</t>
  </si>
  <si>
    <t>UFEIK7QUY0</t>
  </si>
  <si>
    <t>UFER57MX20</t>
  </si>
  <si>
    <t>UFE488ECCM</t>
  </si>
  <si>
    <t>UFE1N89YH9</t>
  </si>
  <si>
    <t>UFEPA782R0</t>
  </si>
  <si>
    <t>UFEHT7PYDW</t>
  </si>
  <si>
    <t>UFEC37VC4C</t>
  </si>
  <si>
    <t>UFE597IV5C</t>
  </si>
  <si>
    <t>UFEKB7KARY</t>
  </si>
  <si>
    <t>UFE977RK01</t>
  </si>
  <si>
    <t>UFEOV83ASF</t>
  </si>
  <si>
    <t>UFE358AQUQ</t>
  </si>
  <si>
    <t>UFE317XGRJ</t>
  </si>
  <si>
    <t>UFE7B7R25G</t>
  </si>
  <si>
    <t>UFELD7KFEA</t>
  </si>
  <si>
    <t>UFEH882ZEB</t>
  </si>
  <si>
    <t>UFER87SPXD</t>
  </si>
  <si>
    <t>Ksh 500.00 sent to KCB Pay Bill 522522 for account 131***4329 MEALS has been received on 14/06/2026 at 03:10 PM. M-PESA ref UFEC87KACQ. To reverse this transaction, SMS this message to 16120.</t>
  </si>
  <si>
    <t>Ksh 100.00 sent to KCB Pay Bill 522522 for account 131***4329 MEALS has been received on 14/06/2026 at 03:12 PM. M-PESA ref UFEIX7ROQK. To reverse this transaction, SMS this message to 16120.</t>
  </si>
  <si>
    <t>Ksh 5000.00 sent to KCB Pay Bill 522522 for account 131***4329 MEALS has been received on 14/06/2026 at 03:12 PM. M-PESA ref UFE5G8582U. To reverse this transaction, SMS this message to 16120.</t>
  </si>
  <si>
    <t>Ksh 500.00 sent to KCB Pay Bill 522522 for account 131***4329 MEALS has been received on 14/06/2026 at 03:12 PM. M-PESA ref UFER47AMPL. To reverse this transaction, SMS this message to 16120.</t>
  </si>
  <si>
    <t>Ksh 1000.00 sent to KCB Pay Bill 522522 for account 131***4329 MEALS has been received on 14/06/2026 at 03:12 PM. M-PESA ref UFELD7ITQJ. To reverse this transaction, SMS this message to 16120.</t>
  </si>
  <si>
    <t>Ksh 200.00 sent to KCB Pay Bill 522522 for account 131***4329 MEALS has been received on 14/06/2026 at 03:11 PM. M-PESA ref UFEH57WBD4. To reverse this transaction, SMS this message to 16120.</t>
  </si>
  <si>
    <t>Ksh 500.00 sent to KCB Pay Bill 522522 for account 131***4329 MEALS has been received on 14/06/2026 at 03:11 PM. M-PESA ref UFE747PY80. To reverse this transaction, SMS this message to 16120.</t>
  </si>
  <si>
    <t>UFE0U7FOR1 Confirmed. KSH200.00 sent to KCB Paybill AC for account 131***4329 on 14/6/26 at 3:12 PM New M-PESA balance is KSH0.00. Transaction cost, KSH5.00.Amount you can transact within the day is 498,135.00. Download My OneApp on https://saf.cx/kWQpy</t>
  </si>
  <si>
    <t>Ksh 100.00 sent to KCB Pay Bill 522522 for account 131***4329 MEALS has been received on 14/06/2026 at 03:11 PM. M-PESA ref UFE8T7UPCS. To reverse this transaction, SMS this message to 16120.</t>
  </si>
  <si>
    <t>Ksh 2500.00 sent to KCB Pay Bill 522522 for account 131***4329 MEALS has been received on 14/06/2026 at 03:12 PM. M-PESA ref UFEK57RYCK. To reverse this transaction, SMS this message to 16120.</t>
  </si>
  <si>
    <t>Ksh 100.00 sent to KCB Pay Bill 522522 for account 131***4329 MEALS has been received on 14/06/2026 at 03:11 PM. M-PESA ref UFEOD80BXY. To reverse this transaction, SMS this message to 16120.</t>
  </si>
  <si>
    <t>Ksh 100.00 sent to KCB Pay Bill 522522 for account 131***4329 MEALS has been received on 14/06/2026 at 03:12 PM. M-PESA ref UFEIF7V45Z. To reverse this transaction, SMS this message to 16120.</t>
  </si>
  <si>
    <t>Ksh 500.00 sent to KCB Pay Bill 522522 for account 131***4329 MEALS has been received on 14/06/2026 at 03:12 PM. M-PESA ref UFEKM7PG23. To reverse this transaction, SMS this message to 16120.</t>
  </si>
  <si>
    <t>UFE3A7ZU7I Confirmed. KSH50.00 sent to KCB Paybill AC for account 131***4329 on 14/6/26 at 3:12 PM New M-PESA balance is KSH0.00. Transaction cost, KSH0.00.Amount you can transact within the day is 499,600.00. Download My OneApp on https://saf.cx/kWQpy</t>
  </si>
  <si>
    <t>Ksh 100.00 sent to KCB Pay Bill 522522 for account 131***4329 MEALS has been received on 14/06/2026 at 03:14 PM. M-PESA ref UFEOS822I8. To reverse this transaction, SMS this message to 16120.</t>
  </si>
  <si>
    <t>Ksh 100.00 sent to KCB Pay Bill 522522 for account 131***4329 MEALS has been received on 14/06/2026 at 03:17 PM. M-PESA ref UFE847MPH5. To reverse this transaction, SMS this message to 16120.</t>
  </si>
  <si>
    <t>Ksh 100.00 sent to KCB Pay Bill 522522 for account 131***4329 MEALS has been received on 14/06/2026 at 03:15 PM. M-PESA ref UFE5H7WEX1. To reverse this transaction, SMS this message to 16120.</t>
  </si>
  <si>
    <t>Ksh 50.00 sent to KCB Pay Bill 522522 for account 131***4329 MEALS has been received on 14/06/2026 at 03:15 PM. M-PESA ref UFEJN7OH38. To reverse this transaction, SMS this message to 16120.</t>
  </si>
  <si>
    <t>Ksh 500.00 sent to KCB Pay Bill 522522 for account 131***4329 MEALS has been received on 14/06/2026 at 03:10 PM. M-PESA ref UFEL77NPHF. To reverse this transaction, SMS this message to 16120.</t>
  </si>
  <si>
    <t>Ksh 500.00 sent to KCB Pay Bill 522522 for account 131***4329 MEALS has been received on 14/06/2026 at 03:10 PM. M-PESA ref UFEKV7VVAS. To reverse this transaction, SMS this message to 16120.</t>
  </si>
  <si>
    <t>Ksh 500.00 sent to KCB Pay Bill 522522 for account 131***4329 MEALS has been received on 14/06/2026 at 03:11 PM. M-PESA ref UFEIK7QUY0. To reverse this transaction, SMS this message to 16120.</t>
  </si>
  <si>
    <t>Ksh 100.00 sent to KCB Pay Bill 522522 for account 131***4329 MEALS has been received on 14/06/2026 at 03:10 PM. M-PESA ref UFER57MX20. To reverse this transaction, SMS this message to 16120.</t>
  </si>
  <si>
    <t>Ksh 100.00 sent to KCB Pay Bill 522522 for account 131***4329 MEALS has been received on 14/06/2026 at 03:12 PM. M-PESA ref UFE488ECCM. To reverse this transaction, SMS this message to 16120.</t>
  </si>
  <si>
    <t>Ksh 300.00 sent to KCB Pay Bill 522522 for account 131***4329 MEALS has been received on 14/06/2026 at 03:18 PM. M-PESA ref UFE1N89YH9. To reverse this transaction, SMS this message to 16120.</t>
  </si>
  <si>
    <t>Ksh 100.00 sent to KCB Pay Bill 522522 for account 131***4329 MEALS has been received on 14/06/2026 at 03:23 PM. M-PESA ref UFEPA782R0. To reverse this transaction, SMS this message to 16120.</t>
  </si>
  <si>
    <t>Ksh 400.00 sent to KCB Pay Bill 522522 for account 131***4329 MEALS has been received on 14/06/2026 at 03:10 PM. M-PESA ref UFEHT7PYDW. To reverse this transaction, SMS this message to 16120.</t>
  </si>
  <si>
    <t>Ksh 100.00 sent to KCB Pay Bill 522522 for account 131***4329 MEALS has been received on 14/06/2026 at 03:13 PM. M-PESA ref UFEC37VC4C. To reverse this transaction, SMS this message to 16120.</t>
  </si>
  <si>
    <t>Ksh 200.00 sent to KCB Pay Bill 522522 for account 131***4329 MEALS has been received on 14/06/2026 at 03:14 PM. M-PESA ref UFE597IV5C. To reverse this transaction, SMS this message to 16120.</t>
  </si>
  <si>
    <t>Ksh 500.00 sent to KCB Pay Bill 522522 for account 131***4329 MEALS has been received on 14/06/2026 at 04:08 PM. M-PESA ref UFEKB7KARY. To reverse this transaction, SMS this message to 16120.</t>
  </si>
  <si>
    <t>Ksh 50.00 sent to KCB Pay Bill 522522 for account 131***4329 MEALS has been received on 14/06/2026 at 03:13 PM. M-PESA ref UFE977RK01. To reverse this transaction, SMS this message to 16120.</t>
  </si>
  <si>
    <t>UFE6E7IWFM Confirmed. KSH200.00 sent to KCB Paybill AC for account 131***4329 on 14/6/26 at 3:13 PM New M-PESA balance is KSH0.00. Transaction cost, KSH5.00.Amount you can transact within the day is 499,570.00. Download My OneApp on https://saf.cx/kWQpy</t>
  </si>
  <si>
    <t>Ksh 1000.00 sent to KCB Pay Bill 522522 for account 131***4329 MEALS has been received on 14/06/2026 at 04:07 PM. M-PESA ref UFEOV83ASF. To reverse this transaction, SMS this message to 16120.</t>
  </si>
  <si>
    <t>Ksh 100.00 sent to KCB Pay Bill 522522 for account 131***4329 MEALS has been received on 14/06/2026 at 03:11 PM. M-PESA ref UFE358AQUQ. To reverse this transaction, SMS this message to 16120.</t>
  </si>
  <si>
    <t>Ksh 200.00 sent to KCB Pay Bill 522522 for account 131***4329 MEALS has been received on 14/06/2026 at 04:07 PM. M-PESA ref UFE317XGRJ. To reverse this transaction, SMS this message to 16120.</t>
  </si>
  <si>
    <t>Ksh 100.00 sent to KCB Pay Bill 522522 for account 131***4329 MEALS has been received on 14/06/2026 at 03:13 PM. M-PESA ref UFE7B7R25G. To reverse this transaction, SMS this message to 16120.</t>
  </si>
  <si>
    <t>Ksh 5650.00 sent to KCB Pay Bill 522522 for account 131***4329 MEALS has been received on 14/06/2026 at 08:11 PM. M-PESA ref UFELD7KFEA. To reverse this transaction, SMS this message to 16120.</t>
  </si>
  <si>
    <t>Ksh 100.00 sent to KCB Pay Bill 522522 for account 131***4329 MEALS has been received on 14/06/2026 at 03:13 PM. M-PESA ref UFEH882ZEB. To reverse this transaction, SMS this message to 16120.</t>
  </si>
  <si>
    <t>Ksh 100.00 sent to KCB Pay Bill 522522 for account 131***4329 MEALS has been received on 14/06/2026 at 03:14 PM. M-PESA ref UFER87SPXD. To reverse this transaction, SMS this message to 16120.</t>
  </si>
  <si>
    <t>131***4329</t>
  </si>
  <si>
    <t>UE9193LDC8</t>
  </si>
  <si>
    <t>TRANSPORT</t>
  </si>
  <si>
    <t>Grand Total</t>
  </si>
  <si>
    <t>Payment Type</t>
  </si>
  <si>
    <t>Jun</t>
  </si>
  <si>
    <t>Aug</t>
  </si>
  <si>
    <t>Oct</t>
  </si>
  <si>
    <t>Total</t>
  </si>
  <si>
    <t>Bank</t>
  </si>
  <si>
    <t>Sep</t>
  </si>
  <si>
    <t xml:space="preserve"> Amount</t>
  </si>
  <si>
    <t>Amount By Date</t>
  </si>
  <si>
    <t>Ksh 60.00 sent to KCB Pay Bill 522522 for account 133***6248 PETTYCASH has been received on 30/07/2026 at 09:16 PM. M-PESA ref UE9193LDC8. To reverse this transaction, SMS this message to 16120.</t>
  </si>
  <si>
    <t>Jul</t>
  </si>
  <si>
    <t xml:space="preserve"> Amount(KES)</t>
  </si>
  <si>
    <t>Bills Grouped By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</si>
</sst>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5" formatCode="[$-F400]h:mm:ss\ am/pm"/>
  </numFmts>
  <fonts count="5" x14ac:knownFonts="1">
    <font>
      <sz val="11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sz val="10"/>
      <name val="Arial"/>
      <family val="2"/>
    </font>
    <font>
      <sz val="8"/>
      <name val="Gill Sans MT"/>
      <family val="2"/>
      <scheme val="minor"/>
    </font>
    <font>
      <b/>
      <sz val="11"/>
      <color theme="1"/>
      <name val="Gill Sans M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0" xfId="0" applyNumberFormat="1"/>
    <xf numFmtId="14" fontId="0" fillId="0" borderId="0" xfId="0" applyNumberFormat="1"/>
    <xf numFmtId="41" fontId="0" fillId="0" borderId="0" xfId="1" applyFont="1"/>
    <xf numFmtId="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41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/>
    <xf numFmtId="0" fontId="2" fillId="2" borderId="1" xfId="0" applyFont="1" applyFill="1" applyBorder="1" applyAlignment="1"/>
    <xf numFmtId="0" fontId="2" fillId="0" borderId="1" xfId="0" applyFont="1" applyBorder="1" applyAlignment="1"/>
    <xf numFmtId="0" fontId="2" fillId="2" borderId="2" xfId="0" applyFont="1" applyFill="1" applyBorder="1" applyAlignment="1"/>
    <xf numFmtId="165" fontId="0" fillId="0" borderId="0" xfId="0" applyNumberFormat="1"/>
    <xf numFmtId="0" fontId="4" fillId="0" borderId="0" xfId="0" applyFont="1"/>
    <xf numFmtId="0" fontId="1" fillId="0" borderId="0" xfId="0" applyNumberFormat="1" applyFont="1"/>
  </cellXfs>
  <cellStyles count="2">
    <cellStyle name="Comma [0]" xfId="1" builtinId="6"/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minor"/>
      </font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0" formatCode="General"/>
    </dxf>
    <dxf>
      <numFmt numFmtId="33" formatCode="_-* #,##0_-;\-* #,##0_-;_-* &quot;-&quot;_-;_-@_-"/>
    </dxf>
    <dxf>
      <numFmt numFmtId="33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minor"/>
      </font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9" formatCode="dd/mm/yyyy"/>
    </dxf>
    <dxf>
      <numFmt numFmtId="165" formatCode="[$-F400]h:mm:ss\ am/pm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Gill Sans MT"/>
        <family val="2"/>
        <scheme val="minor"/>
      </font>
      <numFmt numFmtId="0" formatCode="General"/>
    </dxf>
    <dxf>
      <numFmt numFmtId="0" formatCode="General"/>
    </dxf>
    <dxf>
      <numFmt numFmtId="165" formatCode="[$-F400]h:mm:ss\ am/pm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[Mpesa Process Automation.xlsx]PivotChart!PivotTable4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PivotChart!$B$1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PivotChart!$A$2:$A$6</c:f>
              <c:strCache>
                <c:ptCount val="4"/>
                <c:pt idx="0">
                  <c:v>BILLS</c:v>
                </c:pt>
                <c:pt idx="1">
                  <c:v>MEALS</c:v>
                </c:pt>
                <c:pt idx="2">
                  <c:v>PETTYCASH</c:v>
                </c:pt>
                <c:pt idx="3">
                  <c:v>TRANSPORT</c:v>
                </c:pt>
              </c:strCache>
            </c:strRef>
          </c:cat>
          <c:val>
            <c:numRef>
              <c:f>PivotChart!$B$2:$B$6</c:f>
              <c:numCache>
                <c:formatCode>_(* #,##0_);_(* \(#,##0\);_(* "-"_);_(@_)</c:formatCode>
                <c:ptCount val="4"/>
                <c:pt idx="0">
                  <c:v>3220</c:v>
                </c:pt>
                <c:pt idx="1">
                  <c:v>27700</c:v>
                </c:pt>
                <c:pt idx="2">
                  <c:v>160</c:v>
                </c:pt>
                <c:pt idx="3">
                  <c:v>2180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0B6-4B93-88BF-983CACB94C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42235952"/>
        <c:axId val="842223472"/>
      </c:lineChart>
      <c:catAx>
        <c:axId val="84223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223472"/>
        <c:crosses val="autoZero"/>
        <c:auto val="1"/>
        <c:lblAlgn val="ctr"/>
        <c:lblOffset val="100"/>
        <c:noMultiLvlLbl val="0"/>
      </c:catAx>
      <c:valAx>
        <c:axId val="842223472"/>
        <c:scaling>
          <c:orientation val="minMax"/>
        </c:scaling>
        <c:delete val="1"/>
        <c:axPos val="l"/>
        <c:numFmt formatCode="_(* #,##0_);_(* \(#,##0\);_(* &quot;-&quot;_);_(@_)" sourceLinked="1"/>
        <c:majorTickMark val="out"/>
        <c:minorTickMark val="none"/>
        <c:tickLblPos val="nextTo"/>
        <c:crossAx val="84223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10</xdr:col>
      <xdr:colOff>457200</xdr:colOff>
      <xdr:row>13</xdr:row>
      <xdr:rowOff>114300</xdr:rowOff>
    </xdr:to>
    <xdr:graphicFrame macro="">
      <xdr:nvGraphicFramePr>
        <xdr:cNvPr id="2" name="LineChart">
          <a:extLst>
            <a:ext uri="{FF2B5EF4-FFF2-40B4-BE49-F238E27FC236}">
              <a16:creationId xmlns:a16="http://schemas.microsoft.com/office/drawing/2014/main" id="{BBA8E3E7-13FF-4425-859B-12874D43E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317.670195370367" backgroundQuery="1" createdVersion="7" refreshedVersion="7" minRefreshableVersion="3" recordCount="0" supportSubquery="1" supportAdvancedDrill="1" xr:uid="{A6DF7A21-4D37-4FDB-9E4E-10F63E5BC687}">
  <cacheSource type="external" connectionId="8"/>
  <cacheFields count="3">
    <cacheField name="[Measures].[Sum of Amount]" caption="Sum of Amount" numFmtId="0" hierarchy="10" level="32767"/>
    <cacheField name="[PivotReport].[PAYMENT TYPE].[PAYMENT TYPE]" caption="PAYMENT TYPE" numFmtId="0" hierarchy="3" level="1">
      <sharedItems count="4">
        <s v="BILLS"/>
        <s v="MEALS"/>
        <s v="PETTYCASH"/>
        <s v="TRANSPORT"/>
      </sharedItems>
    </cacheField>
    <cacheField name="[PivotReport].[Date (Month)].[Date (Month)]" caption="Date (Month)" numFmtId="0" hierarchy="6" level="1">
      <sharedItems count="5">
        <s v="Jun"/>
        <s v="Aug"/>
        <s v="Sep"/>
        <s v="Jul"/>
        <s v="Oct"/>
      </sharedItems>
    </cacheField>
  </cacheFields>
  <cacheHierarchies count="11">
    <cacheHierarchy uniqueName="[PivotReport].[Date]" caption="Date" attribute="1" time="1" defaultMemberUniqueName="[PivotReport].[Date].[All]" allUniqueName="[PivotReport].[Date].[All]" dimensionUniqueName="[PivotReport]" displayFolder="" count="0" memberValueDatatype="7" unbalanced="0"/>
    <cacheHierarchy uniqueName="[PivotReport].[Time]" caption="Time" attribute="1" time="1" defaultMemberUniqueName="[PivotReport].[Time].[All]" allUniqueName="[PivotReport].[Time].[All]" dimensionUniqueName="[PivotReport]" displayFolder="" count="0" memberValueDatatype="7" unbalanced="0"/>
    <cacheHierarchy uniqueName="[PivotReport].[Mpesa Ref]" caption="Mpesa Ref" attribute="1" defaultMemberUniqueName="[PivotReport].[Mpesa Ref].[All]" allUniqueName="[PivotReport].[Mpesa Ref].[All]" dimensionUniqueName="[PivotReport]" displayFolder="" count="2" memberValueDatatype="130" unbalanced="0"/>
    <cacheHierarchy uniqueName="[PivotReport].[PAYMENT TYPE]" caption="PAYMENT TYPE" attribute="1" defaultMemberUniqueName="[PivotReport].[PAYMENT TYPE].[All]" allUniqueName="[PivotReport].[PAYMENT TYPE].[All]" dimensionUniqueName="[PivotReport]" displayFolder="" count="2" memberValueDatatype="130" unbalanced="0">
      <fieldsUsage count="2">
        <fieldUsage x="-1"/>
        <fieldUsage x="1"/>
      </fieldsUsage>
    </cacheHierarchy>
    <cacheHierarchy uniqueName="[PivotReport].[Bank]" caption="Bank" attribute="1" defaultMemberUniqueName="[PivotReport].[Bank].[All]" allUniqueName="[PivotReport].[Bank].[All]" dimensionUniqueName="[PivotReport]" displayFolder="" count="0" memberValueDatatype="130" unbalanced="0"/>
    <cacheHierarchy uniqueName="[PivotReport].[Amount]" caption="Amount" attribute="1" defaultMemberUniqueName="[PivotReport].[Amount].[All]" allUniqueName="[PivotReport].[Amount].[All]" dimensionUniqueName="[PivotReport]" displayFolder="" count="0" memberValueDatatype="20" unbalanced="0"/>
    <cacheHierarchy uniqueName="[PivotReport].[Date (Month)]" caption="Date (Month)" attribute="1" defaultMemberUniqueName="[PivotReport].[Date (Month)].[All]" allUniqueName="[PivotReport].[Date (Month)].[All]" dimensionUniqueName="[PivotReport]" displayFolder="" count="2" memberValueDatatype="130" unbalanced="0">
      <fieldsUsage count="2">
        <fieldUsage x="-1"/>
        <fieldUsage x="2"/>
      </fieldsUsage>
    </cacheHierarchy>
    <cacheHierarchy uniqueName="[PivotReport].[Date (Month Index)]" caption="Date (Month Index)" attribute="1" defaultMemberUniqueName="[PivotReport].[Date (Month Index)].[All]" allUniqueName="[PivotReport].[Date (Month Index)].[All]" dimensionUniqueName="[PivotReport]" displayFolder="" count="0" memberValueDatatype="20" unbalanced="0" hidden="1"/>
    <cacheHierarchy uniqueName="[Measures].[__XL_Count PivotReport]" caption="__XL_Count PivotReport" measure="1" displayFolder="" measureGroup="PivotReport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PivotRepor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2">
    <dimension measure="1" name="Measures" uniqueName="[Measures]" caption="Measures"/>
    <dimension name="PivotReport" uniqueName="[PivotReport]" caption="PivotReport"/>
  </dimensions>
  <measureGroups count="1">
    <measureGroup name="PivotReport" caption="PivotReport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317.671373495374" createdVersion="7" refreshedVersion="7" minRefreshableVersion="3" recordCount="63" xr:uid="{8D715E32-309C-471B-BBFC-F5A9E4061BCB}">
  <cacheSource type="worksheet">
    <worksheetSource name="PivotReport"/>
  </cacheSource>
  <cacheFields count="8">
    <cacheField name="Date" numFmtId="14">
      <sharedItems containsSemiMixedTypes="0" containsNonDate="0" containsDate="1" containsString="0" minDate="2026-06-14T00:00:00" maxDate="2026-10-12T00:00:00" count="7">
        <d v="2026-06-21T00:00:00"/>
        <d v="2026-10-11T00:00:00"/>
        <d v="2026-06-14T00:00:00"/>
        <d v="2026-09-13T00:00:00"/>
        <d v="2026-08-30T00:00:00"/>
        <d v="2026-08-23T00:00:00"/>
        <d v="2026-07-30T00:00:00"/>
      </sharedItems>
      <fieldGroup par="7" base="0">
        <rangePr groupBy="days" startDate="2026-06-14T00:00:00" endDate="2026-10-12T00:00:00"/>
        <groupItems count="368">
          <s v="&lt;14/06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10/2026"/>
        </groupItems>
      </fieldGroup>
    </cacheField>
    <cacheField name="Time" numFmtId="165">
      <sharedItems containsSemiMixedTypes="0" containsNonDate="0" containsDate="1" containsString="0" minDate="1899-12-30T11:26:00" maxDate="1899-12-30T21:16:00" count="20">
        <d v="1899-12-30T15:10:00"/>
        <d v="1899-12-30T15:12:00"/>
        <d v="1899-12-30T15:11:00"/>
        <d v="1899-12-30T15:07:00"/>
        <d v="1899-12-30T15:08:00"/>
        <d v="1899-12-30T11:32:00"/>
        <d v="1899-12-30T20:11:00"/>
        <d v="1899-12-30T13:15:00"/>
        <d v="1899-12-30T13:51:00"/>
        <d v="1899-12-30T14:35:00"/>
        <d v="1899-12-30T11:26:00"/>
        <d v="1899-12-30T15:14:00"/>
        <d v="1899-12-30T15:17:00"/>
        <d v="1899-12-30T15:15:00"/>
        <d v="1899-12-30T15:18:00"/>
        <d v="1899-12-30T15:23:00"/>
        <d v="1899-12-30T15:13:00"/>
        <d v="1899-12-30T16:08:00"/>
        <d v="1899-12-30T16:07:00"/>
        <d v="1899-12-30T21:16:00"/>
      </sharedItems>
      <fieldGroup par="6" base="1">
        <rangePr groupBy="minutes" startDate="1899-12-30T11:26:00" endDate="1899-12-30T21:16:00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Mpesa Ref" numFmtId="0">
      <sharedItems/>
    </cacheField>
    <cacheField name="PAYMENT TYPE" numFmtId="0">
      <sharedItems count="4">
        <s v="BILLS"/>
        <s v="TRANSPORT"/>
        <s v="MEALS"/>
        <s v="PETTYCASH"/>
      </sharedItems>
    </cacheField>
    <cacheField name="Bank" numFmtId="0">
      <sharedItems/>
    </cacheField>
    <cacheField name="Amount" numFmtId="41">
      <sharedItems containsSemiMixedTypes="0" containsString="0" containsNumber="1" containsInteger="1" minValue="30" maxValue="5650"/>
    </cacheField>
    <cacheField name="Hours" numFmtId="0" databaseField="0">
      <fieldGroup base="1">
        <rangePr groupBy="hours" startDate="1899-12-30T11:26:00" endDate="1899-12-30T21:16:00"/>
        <groupItems count="26">
          <s v="&lt;00/01/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  <cacheField name="Months" numFmtId="0" databaseField="0">
      <fieldGroup base="0">
        <rangePr groupBy="months" startDate="2026-06-14T00:00:00" endDate="2026-10-12T00:00:00"/>
        <groupItems count="14">
          <s v="&lt;14/06/2026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2/1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x v="0"/>
    <x v="0"/>
    <s v="UFL378WGEP"/>
    <x v="0"/>
    <s v="130***1750"/>
    <n v="100"/>
  </r>
  <r>
    <x v="0"/>
    <x v="0"/>
    <s v="UFLNR8WM5K"/>
    <x v="0"/>
    <s v="130***1750"/>
    <n v="200"/>
  </r>
  <r>
    <x v="0"/>
    <x v="1"/>
    <s v="UFLL78GSL5"/>
    <x v="0"/>
    <s v="130***1750"/>
    <n v="200"/>
  </r>
  <r>
    <x v="0"/>
    <x v="2"/>
    <s v="UFLQG8KHQO"/>
    <x v="0"/>
    <s v="130***1750"/>
    <n v="500"/>
  </r>
  <r>
    <x v="0"/>
    <x v="2"/>
    <s v="UFLPM8TOBC"/>
    <x v="0"/>
    <s v="130***1750"/>
    <n v="200"/>
  </r>
  <r>
    <x v="0"/>
    <x v="3"/>
    <s v="UFL1P8V0JW"/>
    <x v="0"/>
    <s v="130***1750"/>
    <n v="110"/>
  </r>
  <r>
    <x v="0"/>
    <x v="0"/>
    <s v="UFL198FTMJ"/>
    <x v="0"/>
    <s v="130***1750"/>
    <n v="30"/>
  </r>
  <r>
    <x v="0"/>
    <x v="4"/>
    <s v="UFLKB8CRYO"/>
    <x v="0"/>
    <s v="130***1750"/>
    <n v="500"/>
  </r>
  <r>
    <x v="0"/>
    <x v="2"/>
    <s v="UFL978KPL7"/>
    <x v="1"/>
    <s v="131***4240"/>
    <n v="90"/>
  </r>
  <r>
    <x v="0"/>
    <x v="1"/>
    <s v="UFLQR8HBOS"/>
    <x v="1"/>
    <s v="131***4240"/>
    <n v="250"/>
  </r>
  <r>
    <x v="0"/>
    <x v="2"/>
    <s v="UFL748IQFC"/>
    <x v="1"/>
    <s v="131***4240"/>
    <n v="500"/>
  </r>
  <r>
    <x v="0"/>
    <x v="2"/>
    <s v="UFL8U8LZRF"/>
    <x v="1"/>
    <s v="131***4240"/>
    <n v="200"/>
  </r>
  <r>
    <x v="0"/>
    <x v="0"/>
    <s v="UFL8A8C2IL"/>
    <x v="0"/>
    <s v="130***1750"/>
    <n v="200"/>
  </r>
  <r>
    <x v="0"/>
    <x v="2"/>
    <s v="UFLPM8TOBC"/>
    <x v="0"/>
    <s v="130***1750"/>
    <n v="200"/>
  </r>
  <r>
    <x v="0"/>
    <x v="3"/>
    <s v="UFL1P8V0JW"/>
    <x v="0"/>
    <s v="130***1750"/>
    <n v="110"/>
  </r>
  <r>
    <x v="0"/>
    <x v="0"/>
    <s v="UFL198FTMJ"/>
    <x v="0"/>
    <s v="130***1750"/>
    <n v="30"/>
  </r>
  <r>
    <x v="0"/>
    <x v="4"/>
    <s v="UFLKB8CRYO"/>
    <x v="0"/>
    <s v="130***1750"/>
    <n v="500"/>
  </r>
  <r>
    <x v="0"/>
    <x v="2"/>
    <s v="UFL978KPL7"/>
    <x v="1"/>
    <s v="131***4240"/>
    <n v="90"/>
  </r>
  <r>
    <x v="0"/>
    <x v="1"/>
    <s v="UFLQR8HBOS"/>
    <x v="1"/>
    <s v="131***4240"/>
    <n v="250"/>
  </r>
  <r>
    <x v="0"/>
    <x v="2"/>
    <s v="UFL748IQFC"/>
    <x v="1"/>
    <s v="131***4240"/>
    <n v="500"/>
  </r>
  <r>
    <x v="0"/>
    <x v="2"/>
    <s v="UFL8U8LZRF"/>
    <x v="1"/>
    <s v="131***4240"/>
    <n v="200"/>
  </r>
  <r>
    <x v="1"/>
    <x v="5"/>
    <s v="UJB979QXA4"/>
    <x v="1"/>
    <s v="131***4240"/>
    <n v="100"/>
  </r>
  <r>
    <x v="2"/>
    <x v="6"/>
    <s v="UFELD7KFEA"/>
    <x v="2"/>
    <s v="131***4329"/>
    <n v="5650"/>
  </r>
  <r>
    <x v="3"/>
    <x v="7"/>
    <s v="UID1P6LHXS"/>
    <x v="0"/>
    <s v="130***1750"/>
    <n v="110"/>
  </r>
  <r>
    <x v="4"/>
    <x v="8"/>
    <s v="UHU1P4XMTL"/>
    <x v="0"/>
    <s v="130***1750"/>
    <n v="80"/>
  </r>
  <r>
    <x v="5"/>
    <x v="9"/>
    <s v="UHN1P44MJQ"/>
    <x v="0"/>
    <s v="130***1750"/>
    <n v="150"/>
  </r>
  <r>
    <x v="5"/>
    <x v="10"/>
    <s v="UHNFV48KL4"/>
    <x v="3"/>
    <s v="133***6248"/>
    <n v="100"/>
  </r>
  <r>
    <x v="2"/>
    <x v="0"/>
    <s v="UFEC87KACQ"/>
    <x v="2"/>
    <s v="131***4329"/>
    <n v="500"/>
  </r>
  <r>
    <x v="2"/>
    <x v="1"/>
    <s v="UFEIX7ROQK"/>
    <x v="2"/>
    <s v="131***4329"/>
    <n v="100"/>
  </r>
  <r>
    <x v="2"/>
    <x v="1"/>
    <s v="UFE5G8582U"/>
    <x v="2"/>
    <s v="131***4329"/>
    <n v="5000"/>
  </r>
  <r>
    <x v="2"/>
    <x v="1"/>
    <s v="UFER47AMPL"/>
    <x v="2"/>
    <s v="131***4329"/>
    <n v="500"/>
  </r>
  <r>
    <x v="2"/>
    <x v="1"/>
    <s v="UFELD7ITQJ"/>
    <x v="2"/>
    <s v="131***4329"/>
    <n v="1000"/>
  </r>
  <r>
    <x v="2"/>
    <x v="2"/>
    <s v="UFEH57WBD4"/>
    <x v="2"/>
    <s v="131***4329"/>
    <n v="200"/>
  </r>
  <r>
    <x v="2"/>
    <x v="2"/>
    <s v="UFE747PY80"/>
    <x v="2"/>
    <s v="131***4329"/>
    <n v="500"/>
  </r>
  <r>
    <x v="2"/>
    <x v="2"/>
    <s v="UFE8T7UPCS"/>
    <x v="2"/>
    <s v="131***4329"/>
    <n v="100"/>
  </r>
  <r>
    <x v="2"/>
    <x v="1"/>
    <s v="UFEK57RYCK"/>
    <x v="2"/>
    <s v="131***4329"/>
    <n v="2500"/>
  </r>
  <r>
    <x v="2"/>
    <x v="2"/>
    <s v="UFEOD80BXY"/>
    <x v="2"/>
    <s v="131***4329"/>
    <n v="100"/>
  </r>
  <r>
    <x v="2"/>
    <x v="1"/>
    <s v="UFEIF7V45Z"/>
    <x v="2"/>
    <s v="131***4329"/>
    <n v="100"/>
  </r>
  <r>
    <x v="2"/>
    <x v="1"/>
    <s v="UFEKM7PG23"/>
    <x v="2"/>
    <s v="131***4329"/>
    <n v="500"/>
  </r>
  <r>
    <x v="2"/>
    <x v="11"/>
    <s v="UFEOS822I8"/>
    <x v="2"/>
    <s v="131***4329"/>
    <n v="100"/>
  </r>
  <r>
    <x v="2"/>
    <x v="12"/>
    <s v="UFE847MPH5"/>
    <x v="2"/>
    <s v="131***4329"/>
    <n v="100"/>
  </r>
  <r>
    <x v="2"/>
    <x v="13"/>
    <s v="UFE5H7WEX1"/>
    <x v="2"/>
    <s v="131***4329"/>
    <n v="100"/>
  </r>
  <r>
    <x v="2"/>
    <x v="13"/>
    <s v="UFEJN7OH38"/>
    <x v="2"/>
    <s v="131***4329"/>
    <n v="50"/>
  </r>
  <r>
    <x v="2"/>
    <x v="0"/>
    <s v="UFEL77NPHF"/>
    <x v="2"/>
    <s v="131***4329"/>
    <n v="500"/>
  </r>
  <r>
    <x v="2"/>
    <x v="0"/>
    <s v="UFEKV7VVAS"/>
    <x v="2"/>
    <s v="131***4329"/>
    <n v="500"/>
  </r>
  <r>
    <x v="2"/>
    <x v="2"/>
    <s v="UFEIK7QUY0"/>
    <x v="2"/>
    <s v="131***4329"/>
    <n v="500"/>
  </r>
  <r>
    <x v="2"/>
    <x v="0"/>
    <s v="UFER57MX20"/>
    <x v="2"/>
    <s v="131***4329"/>
    <n v="100"/>
  </r>
  <r>
    <x v="2"/>
    <x v="1"/>
    <s v="UFE488ECCM"/>
    <x v="2"/>
    <s v="131***4329"/>
    <n v="100"/>
  </r>
  <r>
    <x v="2"/>
    <x v="14"/>
    <s v="UFE1N89YH9"/>
    <x v="2"/>
    <s v="131***4329"/>
    <n v="300"/>
  </r>
  <r>
    <x v="2"/>
    <x v="15"/>
    <s v="UFEPA782R0"/>
    <x v="2"/>
    <s v="131***4329"/>
    <n v="100"/>
  </r>
  <r>
    <x v="2"/>
    <x v="0"/>
    <s v="UFEHT7PYDW"/>
    <x v="2"/>
    <s v="131***4329"/>
    <n v="400"/>
  </r>
  <r>
    <x v="2"/>
    <x v="16"/>
    <s v="UFEC37VC4C"/>
    <x v="2"/>
    <s v="131***4329"/>
    <n v="100"/>
  </r>
  <r>
    <x v="2"/>
    <x v="11"/>
    <s v="UFE597IV5C"/>
    <x v="2"/>
    <s v="131***4329"/>
    <n v="200"/>
  </r>
  <r>
    <x v="2"/>
    <x v="17"/>
    <s v="UFEKB7KARY"/>
    <x v="2"/>
    <s v="131***4329"/>
    <n v="500"/>
  </r>
  <r>
    <x v="2"/>
    <x v="16"/>
    <s v="UFE977RK01"/>
    <x v="2"/>
    <s v="131***4329"/>
    <n v="50"/>
  </r>
  <r>
    <x v="2"/>
    <x v="18"/>
    <s v="UFEOV83ASF"/>
    <x v="2"/>
    <s v="131***4329"/>
    <n v="1000"/>
  </r>
  <r>
    <x v="2"/>
    <x v="2"/>
    <s v="UFE358AQUQ"/>
    <x v="2"/>
    <s v="131***4329"/>
    <n v="100"/>
  </r>
  <r>
    <x v="2"/>
    <x v="18"/>
    <s v="UFE317XGRJ"/>
    <x v="2"/>
    <s v="131***4329"/>
    <n v="200"/>
  </r>
  <r>
    <x v="6"/>
    <x v="19"/>
    <s v="UE9193LDC8"/>
    <x v="3"/>
    <s v="133***6248"/>
    <n v="60"/>
  </r>
  <r>
    <x v="2"/>
    <x v="16"/>
    <s v="UFE7B7R25G"/>
    <x v="2"/>
    <s v="131***4329"/>
    <n v="100"/>
  </r>
  <r>
    <x v="2"/>
    <x v="6"/>
    <s v="UFELD7KFEA"/>
    <x v="2"/>
    <s v="131***4329"/>
    <n v="5650"/>
  </r>
  <r>
    <x v="2"/>
    <x v="16"/>
    <s v="UFEH882ZEB"/>
    <x v="2"/>
    <s v="131***4329"/>
    <n v="100"/>
  </r>
  <r>
    <x v="2"/>
    <x v="11"/>
    <s v="UFER87SPXD"/>
    <x v="2"/>
    <s v="131***4329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11AB0-FAED-4AF1-8194-EF4FA0EFB1FD}" name="PivotTable4" cacheId="10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Payment Type">
  <location ref="A1:B6" firstHeaderRow="1" firstDataRow="1" firstDataCol="1"/>
  <pivotFields count="8"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65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numFmtId="41" showAll="0"/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 Amount(KES)" fld="5" baseField="0" baseItem="0" numFmtId="41"/>
  </dataFields>
  <formats count="2">
    <format dxfId="4">
      <pivotArea outline="0" collapsedLevelsAreSubtotals="1" fieldPosition="0"/>
    </format>
    <format dxfId="3">
      <pivotArea dataOnly="0" labelOnly="1" outline="0" axis="axisValues" fieldPosition="0"/>
    </format>
  </formats>
  <chartFormats count="5">
    <chartFormat chart="0" format="3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6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E1A2C2-5BDC-4AB1-A375-173D9293E685}" name="PivotReport" cacheId="10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ayment Type">
  <location ref="H3:I16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2">
    <field x="1"/>
    <field x="2"/>
  </rowFields>
  <rowItems count="13">
    <i>
      <x/>
    </i>
    <i r="1">
      <x/>
    </i>
    <i r="1">
      <x v="1"/>
    </i>
    <i r="1">
      <x v="2"/>
    </i>
    <i>
      <x v="1"/>
    </i>
    <i r="1">
      <x/>
    </i>
    <i>
      <x v="2"/>
    </i>
    <i r="1">
      <x v="3"/>
    </i>
    <i r="1">
      <x v="1"/>
    </i>
    <i>
      <x v="3"/>
    </i>
    <i r="1">
      <x/>
    </i>
    <i r="1">
      <x v="4"/>
    </i>
    <i t="grand">
      <x/>
    </i>
  </rowItems>
  <colItems count="1">
    <i/>
  </colItems>
  <dataFields count="1">
    <dataField name=" Amount" fld="0" baseField="0" baseItem="0" numFmtId="41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pivotHierarchies count="1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pesa Process Automation.xlsx!PivotReport">
        <x15:activeTabTopLevelEntity name="[PivotRepor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792407-DF94-488F-BBA9-61B231C452C3}" autoFormatId="16" applyNumberFormats="0" applyBorderFormats="0" applyFontFormats="0" applyPatternFormats="0" applyAlignmentFormats="0" applyWidthHeightFormats="0">
  <queryTableRefresh nextId="9">
    <queryTableFields count="6">
      <queryTableField id="1" name="Date" tableColumnId="1"/>
      <queryTableField id="3" name="Time" tableColumnId="3"/>
      <queryTableField id="2" name="Mpesa Ref" tableColumnId="2"/>
      <queryTableField id="6" name="PAYMENT TYPE" tableColumnId="6"/>
      <queryTableField id="4" name="Bank" tableColumnId="4"/>
      <queryTableField id="5" name="Amoun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CFEE647-B3F1-4689-987C-B2E36AAC242B}" autoFormatId="16" applyNumberFormats="0" applyBorderFormats="0" applyFontFormats="0" applyPatternFormats="0" applyAlignmentFormats="0" applyWidthHeightFormats="0">
  <queryTableRefresh nextId="8">
    <queryTableFields count="2">
      <queryTableField id="1" name="Date" tableColumnId="1"/>
      <queryTableField id="7" name="Amount By Dat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F93C7307-E96D-4C47-BE37-FF2238789323}" autoFormatId="16" applyNumberFormats="0" applyBorderFormats="0" applyFontFormats="0" applyPatternFormats="0" applyAlignmentFormats="0" applyWidthHeightFormats="0">
  <queryTableRefresh nextId="9">
    <queryTableFields count="6">
      <queryTableField id="1" name="Date" tableColumnId="1"/>
      <queryTableField id="3" name="Time" tableColumnId="3"/>
      <queryTableField id="2" name="Mpesa Ref" tableColumnId="2"/>
      <queryTableField id="6" name="PAYMENT TYPE" tableColumnId="6"/>
      <queryTableField id="4" name="Bank" tableColumnId="4"/>
      <queryTableField id="5" name="Amoun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6DB72774-0FA9-4DD3-9A3C-CB6004F6FC93}" autoFormatId="16" applyNumberFormats="0" applyBorderFormats="0" applyFontFormats="0" applyPatternFormats="0" applyAlignmentFormats="0" applyWidthHeightFormats="0">
  <queryTableRefresh nextId="9">
    <queryTableFields count="6">
      <queryTableField id="1" name="Date" tableColumnId="1"/>
      <queryTableField id="3" name="Time" tableColumnId="3"/>
      <queryTableField id="2" name="Mpesa Ref" tableColumnId="2"/>
      <queryTableField id="6" name="PAYMENT TYPE" tableColumnId="6"/>
      <queryTableField id="4" name="Bank" tableColumnId="4"/>
      <queryTableField id="5" name="Amount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C1F32B2-8CA9-4787-A54D-098FDAEC5FE0}" autoFormatId="16" applyNumberFormats="0" applyBorderFormats="0" applyFontFormats="0" applyPatternFormats="0" applyAlignmentFormats="0" applyWidthHeightFormats="0">
  <queryTableRefresh nextId="8">
    <queryTableFields count="6">
      <queryTableField id="1" name="Date" tableColumnId="1"/>
      <queryTableField id="2" name="Mpesa Ref" tableColumnId="2"/>
      <queryTableField id="6" name="PAYMENT TYPE" tableColumnId="6"/>
      <queryTableField id="3" name="Time" tableColumnId="3"/>
      <queryTableField id="4" name="Bank" tableColumnId="4"/>
      <queryTableField id="5" name="Amount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D112E6D-D735-466F-B85C-A35CF747C0DE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Time" tableColumnId="2"/>
      <queryTableField id="3" name="Mpesa Ref" tableColumnId="3"/>
      <queryTableField id="4" name="PAYMENT TYPE" tableColumnId="4"/>
      <queryTableField id="5" name="Bank" tableColumnId="5"/>
      <queryTableField id="6" name="Amount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EFFA9-0D7E-4DF3-8428-745194641251}" name="SourceData" displayName="SourceData" ref="A1:A71" totalsRowShown="0" headerRowDxfId="37" dataDxfId="36" tableBorderDxfId="35">
  <autoFilter ref="A1:A71" xr:uid="{AD4EFFA9-0D7E-4DF3-8428-745194641251}"/>
  <tableColumns count="1">
    <tableColumn id="1" xr3:uid="{D042CEBC-761F-4DE7-8939-81536E99E1A6}" name="RECEIPT" dataDxfId="34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E5DA06A-67DC-4CCE-8989-168A1BA1106A}" name="Bills" displayName="Bills" ref="A1:F18" tableType="queryTable" totalsRowCount="1">
  <autoFilter ref="A1:F17" xr:uid="{9E5DA06A-67DC-4CCE-8989-168A1BA1106A}"/>
  <tableColumns count="6">
    <tableColumn id="1" xr3:uid="{51F74269-832C-488F-B459-1E122B5C7A7B}" uniqueName="1" name="Date" totalsRowLabel="Total" queryTableFieldId="1" dataDxfId="33"/>
    <tableColumn id="3" xr3:uid="{D3DA2BE6-EA16-4D38-A510-75FEA6BCA5F4}" uniqueName="3" name="Time" queryTableFieldId="3" dataDxfId="32"/>
    <tableColumn id="2" xr3:uid="{5880978F-FC35-4096-AA1D-6FC5F7024280}" uniqueName="2" name="Mpesa Ref" queryTableFieldId="2" dataDxfId="31"/>
    <tableColumn id="6" xr3:uid="{E701DF4F-FFCE-4CF4-8336-6053A5C06039}" uniqueName="6" name="PAYMENT TYPE" queryTableFieldId="6" dataDxfId="30" totalsRowDxfId="8" dataCellStyle="Comma [0]" totalsRowCellStyle="Comma [0]"/>
    <tableColumn id="4" xr3:uid="{77BB9900-D910-4D81-9EC1-AE7EC602610E}" uniqueName="4" name="Bank" queryTableFieldId="4" dataDxfId="5"/>
    <tableColumn id="5" xr3:uid="{AF09089A-A523-41C0-971D-647F8AD92445}" uniqueName="5" name="Amount" totalsRowFunction="sum" queryTableFieldId="5" dataCellStyle="Comma [0]" totalsRowCellStyle="Comma [0]"/>
  </tableColumns>
  <tableStyleInfo name="TableStyleMedium7" showFirstColumn="0" showLastColumn="0" showRowStripes="0" showColumnStripes="1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64605F7-28CB-44C4-A4F6-19F9716D57CE}" name="BillsSummary" displayName="BillsSummary" ref="B3:C8" tableType="queryTable" totalsRowCount="1">
  <autoFilter ref="B3:C7" xr:uid="{964605F7-28CB-44C4-A4F6-19F9716D57CE}"/>
  <tableColumns count="2">
    <tableColumn id="1" xr3:uid="{66E6591A-CAF8-4C5A-BF06-1D675C30696D}" uniqueName="1" name="Date" totalsRowLabel="Total" queryTableFieldId="1" dataDxfId="9"/>
    <tableColumn id="7" xr3:uid="{AFFB02D8-12AF-4DE0-9482-17832E306F93}" uniqueName="7" name="Amount By Date" totalsRowFunction="sum" queryTableFieldId="7" dataCellStyle="Comma [0]" totalsRowCellStyle="Comma [0]"/>
  </tableColumns>
  <tableStyleInfo name="TableStyleMedium7" showFirstColumn="0" showLastColumn="0" showRowStripes="0" showColumnStripes="1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FE0EDF5-4CFA-4BD8-8B22-9A24D62C6172}" name="Transport" displayName="Transport" ref="A1:F11" tableType="queryTable" totalsRowCount="1">
  <autoFilter ref="A1:F10" xr:uid="{DFE0EDF5-4CFA-4BD8-8B22-9A24D62C6172}"/>
  <tableColumns count="6">
    <tableColumn id="1" xr3:uid="{39A1970E-E2ED-4030-BA34-48413177825F}" uniqueName="1" name="Date" totalsRowLabel="Total" queryTableFieldId="1" dataDxfId="29"/>
    <tableColumn id="3" xr3:uid="{041C66E3-9312-489E-BAB3-8689F35D9E9E}" uniqueName="3" name="Time" queryTableFieldId="3" dataDxfId="28"/>
    <tableColumn id="2" xr3:uid="{4F161666-4165-454B-9075-5E03BF9266B2}" uniqueName="2" name="Mpesa Ref" queryTableFieldId="2" dataDxfId="27"/>
    <tableColumn id="6" xr3:uid="{841DBC0E-DB13-4157-8329-0985B424794D}" uniqueName="6" name="PAYMENT TYPE" queryTableFieldId="6" dataDxfId="26"/>
    <tableColumn id="4" xr3:uid="{6D05FDD3-B48C-45AF-B92E-DB779186B93A}" uniqueName="4" name="Bank" queryTableFieldId="4" dataDxfId="10"/>
    <tableColumn id="5" xr3:uid="{708D9CD8-BC4C-440D-A26F-F5FF34429852}" uniqueName="5" name="Amount" totalsRowFunction="sum" queryTableFieldId="5" dataCellStyle="Comma [0]" totalsRowCellStyle="Comma [0]"/>
  </tableColumns>
  <tableStyleInfo name="TableStyleMedium7" showFirstColumn="0" showLastColumn="0" showRowStripes="0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58DE0D6-0B9F-42F9-AAA0-2AF49AE511C3}" name="PettyCash" displayName="PettyCash" ref="A1:F4" tableType="queryTable" totalsRowCount="1">
  <autoFilter ref="A1:F3" xr:uid="{D58DE0D6-0B9F-42F9-AAA0-2AF49AE511C3}"/>
  <tableColumns count="6">
    <tableColumn id="1" xr3:uid="{CB9CDF1A-AC22-45DD-AB28-BB42E826B1D1}" uniqueName="1" name="Date" totalsRowLabel="Total" queryTableFieldId="1" dataDxfId="25"/>
    <tableColumn id="3" xr3:uid="{46CD9C28-99B7-4239-B1B9-30F515044BED}" uniqueName="3" name="Time" queryTableFieldId="3" dataDxfId="24"/>
    <tableColumn id="2" xr3:uid="{6FCEEB48-9F53-4941-9BE7-B19D0EEB724E}" uniqueName="2" name="Mpesa Ref" queryTableFieldId="2" dataDxfId="23"/>
    <tableColumn id="6" xr3:uid="{6258E528-4140-447B-A808-1D73392B02FD}" uniqueName="6" name="PAYMENT TYPE" queryTableFieldId="6" dataDxfId="22"/>
    <tableColumn id="4" xr3:uid="{0051DEE7-F07A-4DB3-B99C-D9200C83D115}" uniqueName="4" name="Bank" queryTableFieldId="4" dataDxfId="11"/>
    <tableColumn id="5" xr3:uid="{06BCD9C0-D0AE-4BA1-9CF7-085400396A6E}" uniqueName="5" name="Amount" totalsRowFunction="sum" queryTableFieldId="5" dataCellStyle="Comma [0]" totalsRowCellStyle="Comma [0]"/>
  </tableColumns>
  <tableStyleInfo name="TableStyleMedium7" showFirstColumn="0" showLastColumn="0" showRowStripes="0" showColumnStripes="1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B82AFC1-0B46-4FDA-B7EC-C617711BDEA4}" name="Meals" displayName="Meals" ref="A1:F38" tableType="queryTable" totalsRowCount="1">
  <autoFilter ref="A1:F37" xr:uid="{7B82AFC1-0B46-4FDA-B7EC-C617711BDEA4}"/>
  <tableColumns count="6">
    <tableColumn id="1" xr3:uid="{997EB9E0-CD6A-4B83-8528-59A4E26DCA5D}" uniqueName="1" name="Date" totalsRowLabel="Total" queryTableFieldId="1" dataDxfId="21"/>
    <tableColumn id="2" xr3:uid="{AEA0B3C4-FAEF-4504-A786-57DFBA38D323}" uniqueName="2" name="Mpesa Ref" queryTableFieldId="2" dataDxfId="20"/>
    <tableColumn id="6" xr3:uid="{4026259F-C64B-4201-9D08-1E9E8377B4E9}" uniqueName="6" name="PAYMENT TYPE" queryTableFieldId="6" dataDxfId="19"/>
    <tableColumn id="3" xr3:uid="{05103C99-A227-4B8D-A789-9699F75E219A}" uniqueName="3" name="Time" queryTableFieldId="3" dataDxfId="18"/>
    <tableColumn id="4" xr3:uid="{B8DA16D0-98EF-4A7C-A774-D13438AA0244}" uniqueName="4" name="Bank" queryTableFieldId="4" dataDxfId="12"/>
    <tableColumn id="5" xr3:uid="{8C7DFA3D-D362-4DFE-BE8F-4AFC2D457225}" uniqueName="5" name="Amount" totalsRowFunction="sum" queryTableFieldId="5" dataCellStyle="Comma [0]" totalsRowCellStyle="Comma [0]"/>
  </tableColumns>
  <tableStyleInfo name="TableStyleMedium7" showFirstColumn="0" showLastColumn="0" showRowStripes="0" showColumnStripes="1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0A0E539-7DCA-4ADB-A1C4-F137B02DA3D6}" name="PivotReport" displayName="PivotReport" ref="A3:F67" tableType="queryTable" totalsRowCount="1">
  <autoFilter ref="A3:F66" xr:uid="{B0A0E539-7DCA-4ADB-A1C4-F137B02DA3D6}"/>
  <tableColumns count="6">
    <tableColumn id="1" xr3:uid="{9AE9AF7D-4317-4E88-9563-56C29F749E2D}" uniqueName="1" name="Date" totalsRowLabel="Total" queryTableFieldId="1" dataDxfId="17"/>
    <tableColumn id="2" xr3:uid="{E3CC6DA8-B915-4FA2-8078-C70C0EFB3E26}" uniqueName="2" name="Time" queryTableFieldId="2" dataDxfId="16"/>
    <tableColumn id="3" xr3:uid="{52FA30F1-81D0-4FD7-BDDC-619E8DFAC73F}" uniqueName="3" name="Mpesa Ref" queryTableFieldId="3" dataDxfId="15"/>
    <tableColumn id="4" xr3:uid="{2C001BC0-B9EB-4A3A-A8A8-FEEEA75F2EA8}" uniqueName="4" name="PAYMENT TYPE" queryTableFieldId="4" dataDxfId="14"/>
    <tableColumn id="5" xr3:uid="{EA3DD96D-91ED-4EBE-B41D-A94E46A9216E}" uniqueName="5" name="Bank" queryTableFieldId="5" dataDxfId="13"/>
    <tableColumn id="6" xr3:uid="{8E4C7944-12CF-46DB-B00C-14DACEFF082C}" uniqueName="6" name="Amount" totalsRowFunction="sum" queryTableFieldId="6" totalsRowDxfId="0" dataCellStyle="Comma [0]" totalsRowCellStyle="Comma [0]"/>
  </tableColumns>
  <tableStyleInfo name="TableStyleMedium7" showFirstColumn="0" showLastColumn="0" showRowStripes="0" showColumnStripes="1"/>
</table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DEBB-DA8C-4A2B-A796-249BDA16EE36}">
  <dimension ref="A1:A71"/>
  <sheetViews>
    <sheetView showGridLines="0" topLeftCell="A50" zoomScaleNormal="100" workbookViewId="0">
      <selection activeCell="J61" sqref="J61"/>
    </sheetView>
  </sheetViews>
  <sheetFormatPr defaultRowHeight="15" x14ac:dyDescent="0.35"/>
  <cols>
    <col min="1" max="1" width="9" style="9"/>
  </cols>
  <sheetData>
    <row r="1" spans="1:1" ht="17.25" x14ac:dyDescent="0.35">
      <c r="A1" s="9" t="s">
        <v>32</v>
      </c>
    </row>
    <row r="2" spans="1:1" ht="17.25" x14ac:dyDescent="0.35">
      <c r="A2" s="10" t="s">
        <v>35</v>
      </c>
    </row>
    <row r="3" spans="1:1" ht="17.25" x14ac:dyDescent="0.35">
      <c r="A3" s="11" t="s">
        <v>36</v>
      </c>
    </row>
    <row r="4" spans="1:1" ht="17.25" x14ac:dyDescent="0.35">
      <c r="A4" s="10" t="s">
        <v>37</v>
      </c>
    </row>
    <row r="5" spans="1:1" ht="17.25" x14ac:dyDescent="0.35">
      <c r="A5" s="11" t="s">
        <v>38</v>
      </c>
    </row>
    <row r="6" spans="1:1" ht="17.25" x14ac:dyDescent="0.35">
      <c r="A6" s="10" t="s">
        <v>39</v>
      </c>
    </row>
    <row r="7" spans="1:1" ht="17.25" x14ac:dyDescent="0.35">
      <c r="A7" s="11" t="s">
        <v>40</v>
      </c>
    </row>
    <row r="8" spans="1:1" ht="17.25" x14ac:dyDescent="0.35">
      <c r="A8" s="10" t="s">
        <v>41</v>
      </c>
    </row>
    <row r="9" spans="1:1" ht="17.25" x14ac:dyDescent="0.35">
      <c r="A9" s="11" t="s">
        <v>42</v>
      </c>
    </row>
    <row r="10" spans="1:1" ht="17.25" x14ac:dyDescent="0.35">
      <c r="A10" s="10" t="s">
        <v>24</v>
      </c>
    </row>
    <row r="11" spans="1:1" ht="17.25" x14ac:dyDescent="0.35">
      <c r="A11" s="11" t="s">
        <v>25</v>
      </c>
    </row>
    <row r="12" spans="1:1" ht="17.25" x14ac:dyDescent="0.35">
      <c r="A12" s="10" t="s">
        <v>26</v>
      </c>
    </row>
    <row r="13" spans="1:1" ht="17.25" x14ac:dyDescent="0.35">
      <c r="A13" s="11" t="s">
        <v>27</v>
      </c>
    </row>
    <row r="14" spans="1:1" ht="17.25" x14ac:dyDescent="0.35">
      <c r="A14" s="12" t="s">
        <v>43</v>
      </c>
    </row>
    <row r="15" spans="1:1" ht="17.25" x14ac:dyDescent="0.35">
      <c r="A15" s="10" t="s">
        <v>39</v>
      </c>
    </row>
    <row r="16" spans="1:1" ht="17.25" x14ac:dyDescent="0.35">
      <c r="A16" s="10" t="s">
        <v>40</v>
      </c>
    </row>
    <row r="17" spans="1:1" ht="17.25" x14ac:dyDescent="0.35">
      <c r="A17" s="10" t="s">
        <v>41</v>
      </c>
    </row>
    <row r="18" spans="1:1" ht="17.25" x14ac:dyDescent="0.35">
      <c r="A18" s="10" t="s">
        <v>42</v>
      </c>
    </row>
    <row r="19" spans="1:1" ht="17.25" x14ac:dyDescent="0.35">
      <c r="A19" s="10" t="s">
        <v>24</v>
      </c>
    </row>
    <row r="20" spans="1:1" ht="17.25" x14ac:dyDescent="0.35">
      <c r="A20" s="10" t="s">
        <v>25</v>
      </c>
    </row>
    <row r="21" spans="1:1" ht="17.25" x14ac:dyDescent="0.35">
      <c r="A21" s="10" t="s">
        <v>26</v>
      </c>
    </row>
    <row r="22" spans="1:1" ht="17.25" x14ac:dyDescent="0.35">
      <c r="A22" s="12" t="s">
        <v>27</v>
      </c>
    </row>
    <row r="23" spans="1:1" ht="17.25" x14ac:dyDescent="0.35">
      <c r="A23" s="10" t="s">
        <v>28</v>
      </c>
    </row>
    <row r="24" spans="1:1" ht="17.25" x14ac:dyDescent="0.35">
      <c r="A24" s="10" t="s">
        <v>23</v>
      </c>
    </row>
    <row r="25" spans="1:1" ht="17.25" x14ac:dyDescent="0.35">
      <c r="A25" s="9" t="s">
        <v>121</v>
      </c>
    </row>
    <row r="26" spans="1:1" ht="17.25" x14ac:dyDescent="0.35">
      <c r="A26" s="10" t="s">
        <v>18</v>
      </c>
    </row>
    <row r="27" spans="1:1" ht="17.25" x14ac:dyDescent="0.35">
      <c r="A27" s="10" t="s">
        <v>19</v>
      </c>
    </row>
    <row r="28" spans="1:1" ht="17.25" x14ac:dyDescent="0.35">
      <c r="A28" s="10" t="s">
        <v>44</v>
      </c>
    </row>
    <row r="29" spans="1:1" ht="17.25" x14ac:dyDescent="0.35">
      <c r="A29" s="10" t="s">
        <v>45</v>
      </c>
    </row>
    <row r="30" spans="1:1" ht="17.25" x14ac:dyDescent="0.35">
      <c r="A30" s="10" t="s">
        <v>46</v>
      </c>
    </row>
    <row r="31" spans="1:1" ht="17.25" x14ac:dyDescent="0.35">
      <c r="A31" s="12" t="s">
        <v>47</v>
      </c>
    </row>
    <row r="32" spans="1:1" ht="17.25" x14ac:dyDescent="0.35">
      <c r="A32" s="12" t="s">
        <v>23</v>
      </c>
    </row>
    <row r="33" spans="1:1" ht="17.25" x14ac:dyDescent="0.35">
      <c r="A33" s="10" t="s">
        <v>86</v>
      </c>
    </row>
    <row r="34" spans="1:1" ht="17.25" x14ac:dyDescent="0.35">
      <c r="A34" s="10" t="s">
        <v>87</v>
      </c>
    </row>
    <row r="35" spans="1:1" ht="17.25" x14ac:dyDescent="0.35">
      <c r="A35" s="10" t="s">
        <v>88</v>
      </c>
    </row>
    <row r="36" spans="1:1" ht="17.25" x14ac:dyDescent="0.35">
      <c r="A36" s="10" t="s">
        <v>89</v>
      </c>
    </row>
    <row r="37" spans="1:1" ht="17.25" x14ac:dyDescent="0.35">
      <c r="A37" s="10" t="s">
        <v>90</v>
      </c>
    </row>
    <row r="38" spans="1:1" ht="17.25" x14ac:dyDescent="0.35">
      <c r="A38" s="10" t="s">
        <v>91</v>
      </c>
    </row>
    <row r="39" spans="1:1" ht="17.25" x14ac:dyDescent="0.35">
      <c r="A39" s="10" t="s">
        <v>92</v>
      </c>
    </row>
    <row r="40" spans="1:1" ht="17.25" x14ac:dyDescent="0.35">
      <c r="A40" s="10" t="s">
        <v>93</v>
      </c>
    </row>
    <row r="41" spans="1:1" ht="17.25" x14ac:dyDescent="0.35">
      <c r="A41" s="10" t="s">
        <v>94</v>
      </c>
    </row>
    <row r="42" spans="1:1" ht="17.25" x14ac:dyDescent="0.35">
      <c r="A42" s="10" t="s">
        <v>95</v>
      </c>
    </row>
    <row r="43" spans="1:1" ht="17.25" x14ac:dyDescent="0.35">
      <c r="A43" s="10" t="s">
        <v>96</v>
      </c>
    </row>
    <row r="44" spans="1:1" ht="17.25" x14ac:dyDescent="0.35">
      <c r="A44" s="10" t="s">
        <v>97</v>
      </c>
    </row>
    <row r="45" spans="1:1" ht="17.25" x14ac:dyDescent="0.35">
      <c r="A45" s="10" t="s">
        <v>98</v>
      </c>
    </row>
    <row r="46" spans="1:1" ht="17.25" x14ac:dyDescent="0.35">
      <c r="A46" s="10" t="s">
        <v>99</v>
      </c>
    </row>
    <row r="47" spans="1:1" ht="17.25" x14ac:dyDescent="0.35">
      <c r="A47" s="10" t="s">
        <v>100</v>
      </c>
    </row>
    <row r="48" spans="1:1" ht="17.25" x14ac:dyDescent="0.35">
      <c r="A48" s="10" t="s">
        <v>101</v>
      </c>
    </row>
    <row r="49" spans="1:1" ht="17.25" x14ac:dyDescent="0.35">
      <c r="A49" s="10" t="s">
        <v>102</v>
      </c>
    </row>
    <row r="50" spans="1:1" ht="17.25" x14ac:dyDescent="0.35">
      <c r="A50" s="10" t="s">
        <v>103</v>
      </c>
    </row>
    <row r="51" spans="1:1" ht="17.25" x14ac:dyDescent="0.35">
      <c r="A51" s="10" t="s">
        <v>104</v>
      </c>
    </row>
    <row r="52" spans="1:1" ht="17.25" x14ac:dyDescent="0.35">
      <c r="A52" s="10" t="s">
        <v>105</v>
      </c>
    </row>
    <row r="53" spans="1:1" ht="17.25" x14ac:dyDescent="0.35">
      <c r="A53" s="10" t="s">
        <v>106</v>
      </c>
    </row>
    <row r="54" spans="1:1" ht="17.25" x14ac:dyDescent="0.35">
      <c r="A54" s="10" t="s">
        <v>107</v>
      </c>
    </row>
    <row r="55" spans="1:1" ht="17.25" x14ac:dyDescent="0.35">
      <c r="A55" s="10" t="s">
        <v>108</v>
      </c>
    </row>
    <row r="56" spans="1:1" ht="17.25" x14ac:dyDescent="0.35">
      <c r="A56" s="10" t="s">
        <v>109</v>
      </c>
    </row>
    <row r="57" spans="1:1" ht="17.25" x14ac:dyDescent="0.35">
      <c r="A57" s="10" t="s">
        <v>110</v>
      </c>
    </row>
    <row r="58" spans="1:1" ht="17.25" x14ac:dyDescent="0.35">
      <c r="A58" s="10" t="s">
        <v>111</v>
      </c>
    </row>
    <row r="59" spans="1:1" ht="17.25" x14ac:dyDescent="0.35">
      <c r="A59" s="10" t="s">
        <v>112</v>
      </c>
    </row>
    <row r="60" spans="1:1" ht="17.25" x14ac:dyDescent="0.35">
      <c r="A60" s="10" t="s">
        <v>113</v>
      </c>
    </row>
    <row r="61" spans="1:1" ht="17.25" x14ac:dyDescent="0.35">
      <c r="A61" s="10" t="s">
        <v>114</v>
      </c>
    </row>
    <row r="62" spans="1:1" ht="17.25" x14ac:dyDescent="0.35">
      <c r="A62" s="10" t="s">
        <v>115</v>
      </c>
    </row>
    <row r="63" spans="1:1" ht="17.25" x14ac:dyDescent="0.35">
      <c r="A63" s="10" t="s">
        <v>116</v>
      </c>
    </row>
    <row r="64" spans="1:1" ht="17.25" x14ac:dyDescent="0.35">
      <c r="A64" s="10" t="s">
        <v>117</v>
      </c>
    </row>
    <row r="65" spans="1:1" ht="17.25" x14ac:dyDescent="0.35">
      <c r="A65" s="10" t="s">
        <v>118</v>
      </c>
    </row>
    <row r="66" spans="1:1" ht="17.25" x14ac:dyDescent="0.35">
      <c r="A66" s="10" t="s">
        <v>119</v>
      </c>
    </row>
    <row r="67" spans="1:1" ht="17.25" x14ac:dyDescent="0.35">
      <c r="A67" s="10" t="s">
        <v>137</v>
      </c>
    </row>
    <row r="68" spans="1:1" ht="17.25" x14ac:dyDescent="0.35">
      <c r="A68" s="10" t="s">
        <v>120</v>
      </c>
    </row>
    <row r="69" spans="1:1" ht="17.25" x14ac:dyDescent="0.35">
      <c r="A69" s="10" t="s">
        <v>121</v>
      </c>
    </row>
    <row r="70" spans="1:1" ht="17.25" x14ac:dyDescent="0.35">
      <c r="A70" s="10" t="s">
        <v>122</v>
      </c>
    </row>
    <row r="71" spans="1:1" ht="17.25" x14ac:dyDescent="0.35">
      <c r="A71" s="12" t="s">
        <v>123</v>
      </c>
    </row>
  </sheetData>
  <pageMargins left="0.23622047244094491" right="0.23622047244094491" top="0.74803149606299213" bottom="0.74803149606299213" header="0.31496062992125984" footer="0.31496062992125984"/>
  <pageSetup scale="41" fitToWidth="0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CEF13-A860-4DE2-B4D8-CB713EF9878B}">
  <dimension ref="A1:F18"/>
  <sheetViews>
    <sheetView showGridLines="0" showRowColHeaders="0" zoomScaleNormal="100" workbookViewId="0">
      <selection activeCell="G9" sqref="G9"/>
    </sheetView>
  </sheetViews>
  <sheetFormatPr defaultRowHeight="17.25" x14ac:dyDescent="0.35"/>
  <cols>
    <col min="1" max="1" width="10.625" customWidth="1"/>
    <col min="2" max="2" width="8" customWidth="1"/>
    <col min="3" max="3" width="13.5" customWidth="1"/>
    <col min="4" max="4" width="18.375" customWidth="1"/>
    <col min="5" max="5" width="10.875" customWidth="1"/>
    <col min="6" max="6" width="10.375" style="3" customWidth="1"/>
    <col min="7" max="7" width="10.375" customWidth="1"/>
    <col min="8" max="8" width="9.125" bestFit="1" customWidth="1"/>
    <col min="9" max="9" width="9.125" customWidth="1"/>
    <col min="10" max="10" width="14" bestFit="1" customWidth="1"/>
    <col min="11" max="12" width="9.125" bestFit="1" customWidth="1"/>
  </cols>
  <sheetData>
    <row r="1" spans="1:6" x14ac:dyDescent="0.35">
      <c r="A1" t="s">
        <v>1</v>
      </c>
      <c r="B1" t="s">
        <v>2</v>
      </c>
      <c r="C1" t="s">
        <v>3</v>
      </c>
      <c r="D1" s="3" t="s">
        <v>49</v>
      </c>
      <c r="E1" t="s">
        <v>133</v>
      </c>
      <c r="F1" s="3" t="s">
        <v>4</v>
      </c>
    </row>
    <row r="2" spans="1:6" x14ac:dyDescent="0.35">
      <c r="A2" s="2">
        <v>46194</v>
      </c>
      <c r="B2" s="13">
        <v>0.63194444444444442</v>
      </c>
      <c r="C2" s="1" t="s">
        <v>5</v>
      </c>
      <c r="D2" s="4" t="s">
        <v>0</v>
      </c>
      <c r="E2" s="1" t="s">
        <v>29</v>
      </c>
      <c r="F2" s="3">
        <v>100</v>
      </c>
    </row>
    <row r="3" spans="1:6" x14ac:dyDescent="0.35">
      <c r="A3" s="2">
        <v>46194</v>
      </c>
      <c r="B3" s="13">
        <v>0.63194444444444442</v>
      </c>
      <c r="C3" s="1" t="s">
        <v>6</v>
      </c>
      <c r="D3" s="4" t="s">
        <v>0</v>
      </c>
      <c r="E3" s="1" t="s">
        <v>29</v>
      </c>
      <c r="F3" s="3">
        <v>200</v>
      </c>
    </row>
    <row r="4" spans="1:6" x14ac:dyDescent="0.35">
      <c r="A4" s="2">
        <v>46194</v>
      </c>
      <c r="B4" s="13">
        <v>0.6333333333333333</v>
      </c>
      <c r="C4" s="1" t="s">
        <v>7</v>
      </c>
      <c r="D4" s="4" t="s">
        <v>0</v>
      </c>
      <c r="E4" s="1" t="s">
        <v>29</v>
      </c>
      <c r="F4" s="3">
        <v>200</v>
      </c>
    </row>
    <row r="5" spans="1:6" x14ac:dyDescent="0.35">
      <c r="A5" s="2">
        <v>46194</v>
      </c>
      <c r="B5" s="13">
        <v>0.63263888888888886</v>
      </c>
      <c r="C5" s="1" t="s">
        <v>8</v>
      </c>
      <c r="D5" s="4" t="s">
        <v>0</v>
      </c>
      <c r="E5" s="1" t="s">
        <v>29</v>
      </c>
      <c r="F5" s="3">
        <v>500</v>
      </c>
    </row>
    <row r="6" spans="1:6" x14ac:dyDescent="0.35">
      <c r="A6" s="2">
        <v>46194</v>
      </c>
      <c r="B6" s="13">
        <v>0.63263888888888886</v>
      </c>
      <c r="C6" s="1" t="s">
        <v>9</v>
      </c>
      <c r="D6" s="4" t="s">
        <v>0</v>
      </c>
      <c r="E6" s="1" t="s">
        <v>29</v>
      </c>
      <c r="F6" s="3">
        <v>200</v>
      </c>
    </row>
    <row r="7" spans="1:6" x14ac:dyDescent="0.35">
      <c r="A7" s="2">
        <v>46194</v>
      </c>
      <c r="B7" s="13">
        <v>0.62986111111111109</v>
      </c>
      <c r="C7" s="1" t="s">
        <v>10</v>
      </c>
      <c r="D7" s="4" t="s">
        <v>0</v>
      </c>
      <c r="E7" s="1" t="s">
        <v>29</v>
      </c>
      <c r="F7" s="3">
        <v>110</v>
      </c>
    </row>
    <row r="8" spans="1:6" x14ac:dyDescent="0.35">
      <c r="A8" s="2">
        <v>46194</v>
      </c>
      <c r="B8" s="13">
        <v>0.63194444444444442</v>
      </c>
      <c r="C8" s="1" t="s">
        <v>11</v>
      </c>
      <c r="D8" s="4" t="s">
        <v>0</v>
      </c>
      <c r="E8" s="1" t="s">
        <v>29</v>
      </c>
      <c r="F8" s="3">
        <v>30</v>
      </c>
    </row>
    <row r="9" spans="1:6" x14ac:dyDescent="0.35">
      <c r="A9" s="2">
        <v>46194</v>
      </c>
      <c r="B9" s="13">
        <v>0.63055555555555554</v>
      </c>
      <c r="C9" s="1" t="s">
        <v>12</v>
      </c>
      <c r="D9" s="4" t="s">
        <v>0</v>
      </c>
      <c r="E9" s="1" t="s">
        <v>29</v>
      </c>
      <c r="F9" s="3">
        <v>500</v>
      </c>
    </row>
    <row r="10" spans="1:6" x14ac:dyDescent="0.35">
      <c r="A10" s="2">
        <v>46194</v>
      </c>
      <c r="B10" s="13">
        <v>0.63194444444444442</v>
      </c>
      <c r="C10" s="1" t="s">
        <v>13</v>
      </c>
      <c r="D10" s="4" t="s">
        <v>0</v>
      </c>
      <c r="E10" s="1" t="s">
        <v>29</v>
      </c>
      <c r="F10" s="3">
        <v>200</v>
      </c>
    </row>
    <row r="11" spans="1:6" x14ac:dyDescent="0.35">
      <c r="A11" s="2">
        <v>46194</v>
      </c>
      <c r="B11" s="13">
        <v>0.63263888888888886</v>
      </c>
      <c r="C11" s="1" t="s">
        <v>9</v>
      </c>
      <c r="D11" s="4" t="s">
        <v>0</v>
      </c>
      <c r="E11" s="1" t="s">
        <v>29</v>
      </c>
      <c r="F11" s="3">
        <v>200</v>
      </c>
    </row>
    <row r="12" spans="1:6" x14ac:dyDescent="0.35">
      <c r="A12" s="2">
        <v>46194</v>
      </c>
      <c r="B12" s="13">
        <v>0.62986111111111109</v>
      </c>
      <c r="C12" s="1" t="s">
        <v>10</v>
      </c>
      <c r="D12" s="4" t="s">
        <v>0</v>
      </c>
      <c r="E12" s="1" t="s">
        <v>29</v>
      </c>
      <c r="F12" s="3">
        <v>110</v>
      </c>
    </row>
    <row r="13" spans="1:6" x14ac:dyDescent="0.35">
      <c r="A13" s="2">
        <v>46194</v>
      </c>
      <c r="B13" s="13">
        <v>0.63194444444444442</v>
      </c>
      <c r="C13" s="1" t="s">
        <v>11</v>
      </c>
      <c r="D13" s="4" t="s">
        <v>0</v>
      </c>
      <c r="E13" s="1" t="s">
        <v>29</v>
      </c>
      <c r="F13" s="3">
        <v>30</v>
      </c>
    </row>
    <row r="14" spans="1:6" x14ac:dyDescent="0.35">
      <c r="A14" s="2">
        <v>46194</v>
      </c>
      <c r="B14" s="13">
        <v>0.63055555555555554</v>
      </c>
      <c r="C14" s="1" t="s">
        <v>12</v>
      </c>
      <c r="D14" s="4" t="s">
        <v>0</v>
      </c>
      <c r="E14" s="1" t="s">
        <v>29</v>
      </c>
      <c r="F14" s="3">
        <v>500</v>
      </c>
    </row>
    <row r="15" spans="1:6" x14ac:dyDescent="0.35">
      <c r="A15" s="2">
        <v>46278</v>
      </c>
      <c r="B15" s="13">
        <v>0.55208333333333337</v>
      </c>
      <c r="C15" s="1" t="s">
        <v>20</v>
      </c>
      <c r="D15" s="4" t="s">
        <v>0</v>
      </c>
      <c r="E15" s="1" t="s">
        <v>29</v>
      </c>
      <c r="F15" s="3">
        <v>110</v>
      </c>
    </row>
    <row r="16" spans="1:6" x14ac:dyDescent="0.35">
      <c r="A16" s="2">
        <v>46264</v>
      </c>
      <c r="B16" s="13">
        <v>0.57708333333333328</v>
      </c>
      <c r="C16" s="1" t="s">
        <v>21</v>
      </c>
      <c r="D16" s="4" t="s">
        <v>0</v>
      </c>
      <c r="E16" s="1" t="s">
        <v>29</v>
      </c>
      <c r="F16" s="3">
        <v>80</v>
      </c>
    </row>
    <row r="17" spans="1:6" x14ac:dyDescent="0.35">
      <c r="A17" s="2">
        <v>46257</v>
      </c>
      <c r="B17" s="13">
        <v>0.60763888888888884</v>
      </c>
      <c r="C17" s="1" t="s">
        <v>22</v>
      </c>
      <c r="D17" s="4" t="s">
        <v>0</v>
      </c>
      <c r="E17" s="1" t="s">
        <v>29</v>
      </c>
      <c r="F17" s="3">
        <v>150</v>
      </c>
    </row>
    <row r="18" spans="1:6" x14ac:dyDescent="0.35">
      <c r="A18" t="s">
        <v>132</v>
      </c>
      <c r="D18" s="15"/>
      <c r="F18" s="3">
        <f>SUBTOTAL(109,Bills[Amount])</f>
        <v>3220</v>
      </c>
    </row>
  </sheetData>
  <phoneticPr fontId="3" type="noConversion"/>
  <pageMargins left="0.70866141732283472" right="0.70866141732283472" top="0.74803149606299213" bottom="0.74803149606299213" header="0.31496062992125984" footer="0.31496062992125984"/>
  <pageSetup fitToWidth="0" fitToHeight="0" pageOrder="overThenDown" orientation="portrait" cellComments="asDisplayed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F26C6-6DD3-40E8-91C6-733E409BDD7F}">
  <dimension ref="B2:C8"/>
  <sheetViews>
    <sheetView showGridLines="0" showRowColHeaders="0" workbookViewId="0">
      <selection activeCell="D8" sqref="D8"/>
    </sheetView>
  </sheetViews>
  <sheetFormatPr defaultRowHeight="17.25" x14ac:dyDescent="0.35"/>
  <cols>
    <col min="1" max="1" width="9.375" bestFit="1" customWidth="1"/>
    <col min="2" max="2" width="14.875" customWidth="1"/>
    <col min="3" max="3" width="10.625" customWidth="1"/>
    <col min="4" max="4" width="17.625" customWidth="1"/>
    <col min="5" max="5" width="8" customWidth="1"/>
    <col min="6" max="6" width="11.875" bestFit="1" customWidth="1"/>
    <col min="7" max="7" width="14.875" bestFit="1" customWidth="1"/>
    <col min="8" max="8" width="9.625" bestFit="1" customWidth="1"/>
    <col min="9" max="9" width="9.125" bestFit="1" customWidth="1"/>
    <col min="10" max="10" width="12" bestFit="1" customWidth="1"/>
  </cols>
  <sheetData>
    <row r="2" spans="2:3" x14ac:dyDescent="0.35">
      <c r="B2" s="14" t="s">
        <v>140</v>
      </c>
      <c r="C2" s="14"/>
    </row>
    <row r="3" spans="2:3" x14ac:dyDescent="0.35">
      <c r="B3" t="s">
        <v>1</v>
      </c>
      <c r="C3" s="3" t="s">
        <v>136</v>
      </c>
    </row>
    <row r="4" spans="2:3" x14ac:dyDescent="0.35">
      <c r="B4" s="2">
        <v>46194</v>
      </c>
      <c r="C4" s="3">
        <v>2880</v>
      </c>
    </row>
    <row r="5" spans="2:3" x14ac:dyDescent="0.35">
      <c r="B5" s="2">
        <v>46278</v>
      </c>
      <c r="C5" s="3">
        <v>110</v>
      </c>
    </row>
    <row r="6" spans="2:3" x14ac:dyDescent="0.35">
      <c r="B6" s="2">
        <v>46264</v>
      </c>
      <c r="C6" s="3">
        <v>80</v>
      </c>
    </row>
    <row r="7" spans="2:3" x14ac:dyDescent="0.35">
      <c r="B7" s="2">
        <v>46257</v>
      </c>
      <c r="C7" s="3">
        <v>150</v>
      </c>
    </row>
    <row r="8" spans="2:3" x14ac:dyDescent="0.35">
      <c r="B8" t="s">
        <v>132</v>
      </c>
      <c r="C8" s="7">
        <f>SUBTOTAL(109,BillsSummary[Amount By Date])</f>
        <v>3220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0C2DB-24B5-4ADD-9082-EE8B734EE425}">
  <dimension ref="A1:F11"/>
  <sheetViews>
    <sheetView showGridLines="0" showRowColHeaders="0" zoomScaleNormal="100" workbookViewId="0">
      <selection activeCell="F1" sqref="F1:F10"/>
    </sheetView>
  </sheetViews>
  <sheetFormatPr defaultRowHeight="17.25" x14ac:dyDescent="0.35"/>
  <cols>
    <col min="1" max="1" width="10.625" customWidth="1"/>
    <col min="2" max="2" width="8" customWidth="1"/>
    <col min="3" max="3" width="12.625" customWidth="1"/>
    <col min="4" max="4" width="16.875" customWidth="1"/>
    <col min="5" max="5" width="10.875" customWidth="1"/>
    <col min="6" max="7" width="10.375" customWidth="1"/>
  </cols>
  <sheetData>
    <row r="1" spans="1:6" x14ac:dyDescent="0.35">
      <c r="A1" t="s">
        <v>1</v>
      </c>
      <c r="B1" t="s">
        <v>2</v>
      </c>
      <c r="C1" t="s">
        <v>3</v>
      </c>
      <c r="D1" t="s">
        <v>49</v>
      </c>
      <c r="E1" t="s">
        <v>133</v>
      </c>
      <c r="F1" s="3" t="s">
        <v>4</v>
      </c>
    </row>
    <row r="2" spans="1:6" x14ac:dyDescent="0.35">
      <c r="A2" s="2">
        <v>46194</v>
      </c>
      <c r="B2" s="13">
        <v>0.63263888888888886</v>
      </c>
      <c r="C2" s="1" t="s">
        <v>14</v>
      </c>
      <c r="D2" s="1" t="s">
        <v>126</v>
      </c>
      <c r="E2" s="1" t="s">
        <v>30</v>
      </c>
      <c r="F2" s="3">
        <v>90</v>
      </c>
    </row>
    <row r="3" spans="1:6" x14ac:dyDescent="0.35">
      <c r="A3" s="2">
        <v>46194</v>
      </c>
      <c r="B3" s="13">
        <v>0.6333333333333333</v>
      </c>
      <c r="C3" s="1" t="s">
        <v>15</v>
      </c>
      <c r="D3" s="1" t="s">
        <v>126</v>
      </c>
      <c r="E3" s="1" t="s">
        <v>30</v>
      </c>
      <c r="F3" s="3">
        <v>250</v>
      </c>
    </row>
    <row r="4" spans="1:6" x14ac:dyDescent="0.35">
      <c r="A4" s="2">
        <v>46194</v>
      </c>
      <c r="B4" s="13">
        <v>0.63263888888888886</v>
      </c>
      <c r="C4" s="1" t="s">
        <v>16</v>
      </c>
      <c r="D4" s="1" t="s">
        <v>126</v>
      </c>
      <c r="E4" s="1" t="s">
        <v>30</v>
      </c>
      <c r="F4" s="3">
        <v>500</v>
      </c>
    </row>
    <row r="5" spans="1:6" x14ac:dyDescent="0.35">
      <c r="A5" s="2">
        <v>46194</v>
      </c>
      <c r="B5" s="13">
        <v>0.63263888888888886</v>
      </c>
      <c r="C5" s="1" t="s">
        <v>17</v>
      </c>
      <c r="D5" s="1" t="s">
        <v>126</v>
      </c>
      <c r="E5" s="1" t="s">
        <v>30</v>
      </c>
      <c r="F5" s="3">
        <v>200</v>
      </c>
    </row>
    <row r="6" spans="1:6" x14ac:dyDescent="0.35">
      <c r="A6" s="2">
        <v>46194</v>
      </c>
      <c r="B6" s="13">
        <v>0.63263888888888886</v>
      </c>
      <c r="C6" s="1" t="s">
        <v>14</v>
      </c>
      <c r="D6" s="1" t="s">
        <v>126</v>
      </c>
      <c r="E6" s="1" t="s">
        <v>30</v>
      </c>
      <c r="F6" s="3">
        <v>90</v>
      </c>
    </row>
    <row r="7" spans="1:6" x14ac:dyDescent="0.35">
      <c r="A7" s="2">
        <v>46194</v>
      </c>
      <c r="B7" s="13">
        <v>0.6333333333333333</v>
      </c>
      <c r="C7" s="1" t="s">
        <v>15</v>
      </c>
      <c r="D7" s="1" t="s">
        <v>126</v>
      </c>
      <c r="E7" s="1" t="s">
        <v>30</v>
      </c>
      <c r="F7" s="3">
        <v>250</v>
      </c>
    </row>
    <row r="8" spans="1:6" x14ac:dyDescent="0.35">
      <c r="A8" s="2">
        <v>46194</v>
      </c>
      <c r="B8" s="13">
        <v>0.63263888888888886</v>
      </c>
      <c r="C8" s="1" t="s">
        <v>16</v>
      </c>
      <c r="D8" s="1" t="s">
        <v>126</v>
      </c>
      <c r="E8" s="1" t="s">
        <v>30</v>
      </c>
      <c r="F8" s="3">
        <v>500</v>
      </c>
    </row>
    <row r="9" spans="1:6" x14ac:dyDescent="0.35">
      <c r="A9" s="2">
        <v>46194</v>
      </c>
      <c r="B9" s="13">
        <v>0.63263888888888886</v>
      </c>
      <c r="C9" s="1" t="s">
        <v>17</v>
      </c>
      <c r="D9" s="1" t="s">
        <v>126</v>
      </c>
      <c r="E9" s="1" t="s">
        <v>30</v>
      </c>
      <c r="F9" s="3">
        <v>200</v>
      </c>
    </row>
    <row r="10" spans="1:6" x14ac:dyDescent="0.35">
      <c r="A10" s="2">
        <v>46306</v>
      </c>
      <c r="B10" s="13">
        <v>0.48055555555555557</v>
      </c>
      <c r="C10" s="1" t="s">
        <v>31</v>
      </c>
      <c r="D10" s="1" t="s">
        <v>126</v>
      </c>
      <c r="E10" s="1" t="s">
        <v>30</v>
      </c>
      <c r="F10" s="3">
        <v>100</v>
      </c>
    </row>
    <row r="11" spans="1:6" x14ac:dyDescent="0.35">
      <c r="A11" t="s">
        <v>132</v>
      </c>
      <c r="F11" s="7">
        <f>SUBTOTAL(109,Transport[Amount])</f>
        <v>2180</v>
      </c>
    </row>
  </sheetData>
  <pageMargins left="0.25" right="0.25" top="0.75" bottom="0.75" header="0.3" footer="0.3"/>
  <pageSetup fitToWidth="0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0A947-8523-4029-B053-7027C9BA55C5}">
  <dimension ref="A1:F4"/>
  <sheetViews>
    <sheetView showGridLines="0" showRowColHeaders="0" workbookViewId="0">
      <selection activeCell="H10" sqref="H10"/>
    </sheetView>
  </sheetViews>
  <sheetFormatPr defaultRowHeight="17.25" x14ac:dyDescent="0.35"/>
  <cols>
    <col min="1" max="1" width="10.625" customWidth="1"/>
    <col min="2" max="2" width="8" customWidth="1"/>
    <col min="3" max="3" width="12.625" customWidth="1"/>
    <col min="4" max="4" width="16.875" customWidth="1"/>
    <col min="5" max="5" width="10.875" customWidth="1"/>
    <col min="6" max="6" width="10.375" customWidth="1"/>
  </cols>
  <sheetData>
    <row r="1" spans="1:6" x14ac:dyDescent="0.35">
      <c r="A1" t="s">
        <v>1</v>
      </c>
      <c r="B1" t="s">
        <v>2</v>
      </c>
      <c r="C1" t="s">
        <v>3</v>
      </c>
      <c r="D1" t="s">
        <v>49</v>
      </c>
      <c r="E1" t="s">
        <v>133</v>
      </c>
      <c r="F1" s="3" t="s">
        <v>4</v>
      </c>
    </row>
    <row r="2" spans="1:6" x14ac:dyDescent="0.35">
      <c r="A2" s="2">
        <v>46257</v>
      </c>
      <c r="B2" s="13">
        <v>0.47638888888888886</v>
      </c>
      <c r="C2" s="1" t="s">
        <v>33</v>
      </c>
      <c r="D2" s="1" t="s">
        <v>48</v>
      </c>
      <c r="E2" s="1" t="s">
        <v>34</v>
      </c>
      <c r="F2" s="3">
        <v>100</v>
      </c>
    </row>
    <row r="3" spans="1:6" x14ac:dyDescent="0.35">
      <c r="A3" s="2">
        <v>46233</v>
      </c>
      <c r="B3" s="13">
        <v>0.88611111111111107</v>
      </c>
      <c r="C3" s="1" t="s">
        <v>125</v>
      </c>
      <c r="D3" s="1" t="s">
        <v>48</v>
      </c>
      <c r="E3" s="1" t="s">
        <v>34</v>
      </c>
      <c r="F3" s="3">
        <v>60</v>
      </c>
    </row>
    <row r="4" spans="1:6" x14ac:dyDescent="0.35">
      <c r="A4" t="s">
        <v>132</v>
      </c>
      <c r="F4" s="7">
        <f>SUBTOTAL(109,PettyCash[Amount])</f>
        <v>160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99C24-15CE-4E91-9374-3978D26E31DD}">
  <dimension ref="A1:F38"/>
  <sheetViews>
    <sheetView showGridLines="0" showRowColHeaders="0" topLeftCell="A26" workbookViewId="0">
      <selection activeCell="J38" sqref="J38"/>
    </sheetView>
  </sheetViews>
  <sheetFormatPr defaultRowHeight="17.25" x14ac:dyDescent="0.35"/>
  <cols>
    <col min="1" max="1" width="10.625" customWidth="1"/>
    <col min="2" max="2" width="12.75" customWidth="1"/>
    <col min="3" max="3" width="16.875" customWidth="1"/>
    <col min="4" max="4" width="8" customWidth="1"/>
    <col min="5" max="5" width="10.875" customWidth="1"/>
    <col min="6" max="6" width="10.375" customWidth="1"/>
    <col min="8" max="12" width="8"/>
  </cols>
  <sheetData>
    <row r="1" spans="1:6" x14ac:dyDescent="0.35">
      <c r="A1" t="s">
        <v>1</v>
      </c>
      <c r="B1" t="s">
        <v>3</v>
      </c>
      <c r="C1" t="s">
        <v>49</v>
      </c>
      <c r="D1" t="s">
        <v>2</v>
      </c>
      <c r="E1" t="s">
        <v>133</v>
      </c>
      <c r="F1" s="3" t="s">
        <v>4</v>
      </c>
    </row>
    <row r="2" spans="1:6" x14ac:dyDescent="0.35">
      <c r="A2" s="2">
        <v>46187</v>
      </c>
      <c r="B2" s="1" t="s">
        <v>83</v>
      </c>
      <c r="C2" s="1" t="s">
        <v>50</v>
      </c>
      <c r="D2" s="13">
        <v>0.84097222222222223</v>
      </c>
      <c r="E2" s="1" t="s">
        <v>124</v>
      </c>
      <c r="F2" s="3">
        <v>5650</v>
      </c>
    </row>
    <row r="3" spans="1:6" x14ac:dyDescent="0.35">
      <c r="A3" s="2">
        <v>46187</v>
      </c>
      <c r="B3" s="1" t="s">
        <v>51</v>
      </c>
      <c r="C3" s="1" t="s">
        <v>50</v>
      </c>
      <c r="D3" s="13">
        <v>0.63194444444444442</v>
      </c>
      <c r="E3" s="1" t="s">
        <v>124</v>
      </c>
      <c r="F3" s="3">
        <v>500</v>
      </c>
    </row>
    <row r="4" spans="1:6" x14ac:dyDescent="0.35">
      <c r="A4" s="2">
        <v>46187</v>
      </c>
      <c r="B4" s="1" t="s">
        <v>52</v>
      </c>
      <c r="C4" s="1" t="s">
        <v>50</v>
      </c>
      <c r="D4" s="13">
        <v>0.6333333333333333</v>
      </c>
      <c r="E4" s="1" t="s">
        <v>124</v>
      </c>
      <c r="F4" s="3">
        <v>100</v>
      </c>
    </row>
    <row r="5" spans="1:6" x14ac:dyDescent="0.35">
      <c r="A5" s="2">
        <v>46187</v>
      </c>
      <c r="B5" s="1" t="s">
        <v>53</v>
      </c>
      <c r="C5" s="1" t="s">
        <v>50</v>
      </c>
      <c r="D5" s="13">
        <v>0.6333333333333333</v>
      </c>
      <c r="E5" s="1" t="s">
        <v>124</v>
      </c>
      <c r="F5" s="3">
        <v>5000</v>
      </c>
    </row>
    <row r="6" spans="1:6" x14ac:dyDescent="0.35">
      <c r="A6" s="2">
        <v>46187</v>
      </c>
      <c r="B6" s="1" t="s">
        <v>54</v>
      </c>
      <c r="C6" s="1" t="s">
        <v>50</v>
      </c>
      <c r="D6" s="13">
        <v>0.6333333333333333</v>
      </c>
      <c r="E6" s="1" t="s">
        <v>124</v>
      </c>
      <c r="F6" s="3">
        <v>500</v>
      </c>
    </row>
    <row r="7" spans="1:6" x14ac:dyDescent="0.35">
      <c r="A7" s="2">
        <v>46187</v>
      </c>
      <c r="B7" s="1" t="s">
        <v>55</v>
      </c>
      <c r="C7" s="1" t="s">
        <v>50</v>
      </c>
      <c r="D7" s="13">
        <v>0.6333333333333333</v>
      </c>
      <c r="E7" s="1" t="s">
        <v>124</v>
      </c>
      <c r="F7" s="3">
        <v>1000</v>
      </c>
    </row>
    <row r="8" spans="1:6" x14ac:dyDescent="0.35">
      <c r="A8" s="2">
        <v>46187</v>
      </c>
      <c r="B8" s="1" t="s">
        <v>56</v>
      </c>
      <c r="C8" s="1" t="s">
        <v>50</v>
      </c>
      <c r="D8" s="13">
        <v>0.63263888888888886</v>
      </c>
      <c r="E8" s="1" t="s">
        <v>124</v>
      </c>
      <c r="F8" s="3">
        <v>200</v>
      </c>
    </row>
    <row r="9" spans="1:6" x14ac:dyDescent="0.35">
      <c r="A9" s="2">
        <v>46187</v>
      </c>
      <c r="B9" s="1" t="s">
        <v>57</v>
      </c>
      <c r="C9" s="1" t="s">
        <v>50</v>
      </c>
      <c r="D9" s="13">
        <v>0.63263888888888886</v>
      </c>
      <c r="E9" s="1" t="s">
        <v>124</v>
      </c>
      <c r="F9" s="3">
        <v>500</v>
      </c>
    </row>
    <row r="10" spans="1:6" x14ac:dyDescent="0.35">
      <c r="A10" s="2">
        <v>46187</v>
      </c>
      <c r="B10" s="1" t="s">
        <v>58</v>
      </c>
      <c r="C10" s="1" t="s">
        <v>50</v>
      </c>
      <c r="D10" s="13">
        <v>0.63263888888888886</v>
      </c>
      <c r="E10" s="1" t="s">
        <v>124</v>
      </c>
      <c r="F10" s="3">
        <v>100</v>
      </c>
    </row>
    <row r="11" spans="1:6" x14ac:dyDescent="0.35">
      <c r="A11" s="2">
        <v>46187</v>
      </c>
      <c r="B11" s="1" t="s">
        <v>59</v>
      </c>
      <c r="C11" s="1" t="s">
        <v>50</v>
      </c>
      <c r="D11" s="13">
        <v>0.6333333333333333</v>
      </c>
      <c r="E11" s="1" t="s">
        <v>124</v>
      </c>
      <c r="F11" s="3">
        <v>2500</v>
      </c>
    </row>
    <row r="12" spans="1:6" x14ac:dyDescent="0.35">
      <c r="A12" s="2">
        <v>46187</v>
      </c>
      <c r="B12" s="1" t="s">
        <v>60</v>
      </c>
      <c r="C12" s="1" t="s">
        <v>50</v>
      </c>
      <c r="D12" s="13">
        <v>0.63263888888888886</v>
      </c>
      <c r="E12" s="1" t="s">
        <v>124</v>
      </c>
      <c r="F12" s="3">
        <v>100</v>
      </c>
    </row>
    <row r="13" spans="1:6" x14ac:dyDescent="0.35">
      <c r="A13" s="2">
        <v>46187</v>
      </c>
      <c r="B13" s="1" t="s">
        <v>61</v>
      </c>
      <c r="C13" s="1" t="s">
        <v>50</v>
      </c>
      <c r="D13" s="13">
        <v>0.6333333333333333</v>
      </c>
      <c r="E13" s="1" t="s">
        <v>124</v>
      </c>
      <c r="F13" s="3">
        <v>100</v>
      </c>
    </row>
    <row r="14" spans="1:6" x14ac:dyDescent="0.35">
      <c r="A14" s="2">
        <v>46187</v>
      </c>
      <c r="B14" s="1" t="s">
        <v>62</v>
      </c>
      <c r="C14" s="1" t="s">
        <v>50</v>
      </c>
      <c r="D14" s="13">
        <v>0.6333333333333333</v>
      </c>
      <c r="E14" s="1" t="s">
        <v>124</v>
      </c>
      <c r="F14" s="3">
        <v>500</v>
      </c>
    </row>
    <row r="15" spans="1:6" x14ac:dyDescent="0.35">
      <c r="A15" s="2">
        <v>46187</v>
      </c>
      <c r="B15" s="1" t="s">
        <v>63</v>
      </c>
      <c r="C15" s="1" t="s">
        <v>50</v>
      </c>
      <c r="D15" s="13">
        <v>0.63472222222222219</v>
      </c>
      <c r="E15" s="1" t="s">
        <v>124</v>
      </c>
      <c r="F15" s="3">
        <v>100</v>
      </c>
    </row>
    <row r="16" spans="1:6" x14ac:dyDescent="0.35">
      <c r="A16" s="2">
        <v>46187</v>
      </c>
      <c r="B16" s="1" t="s">
        <v>64</v>
      </c>
      <c r="C16" s="1" t="s">
        <v>50</v>
      </c>
      <c r="D16" s="13">
        <v>0.63680555555555551</v>
      </c>
      <c r="E16" s="1" t="s">
        <v>124</v>
      </c>
      <c r="F16" s="3">
        <v>100</v>
      </c>
    </row>
    <row r="17" spans="1:6" x14ac:dyDescent="0.35">
      <c r="A17" s="2">
        <v>46187</v>
      </c>
      <c r="B17" s="1" t="s">
        <v>65</v>
      </c>
      <c r="C17" s="1" t="s">
        <v>50</v>
      </c>
      <c r="D17" s="13">
        <v>0.63541666666666663</v>
      </c>
      <c r="E17" s="1" t="s">
        <v>124</v>
      </c>
      <c r="F17" s="3">
        <v>100</v>
      </c>
    </row>
    <row r="18" spans="1:6" x14ac:dyDescent="0.35">
      <c r="A18" s="2">
        <v>46187</v>
      </c>
      <c r="B18" s="1" t="s">
        <v>66</v>
      </c>
      <c r="C18" s="1" t="s">
        <v>50</v>
      </c>
      <c r="D18" s="13">
        <v>0.63541666666666663</v>
      </c>
      <c r="E18" s="1" t="s">
        <v>124</v>
      </c>
      <c r="F18" s="3">
        <v>50</v>
      </c>
    </row>
    <row r="19" spans="1:6" x14ac:dyDescent="0.35">
      <c r="A19" s="2">
        <v>46187</v>
      </c>
      <c r="B19" s="1" t="s">
        <v>67</v>
      </c>
      <c r="C19" s="1" t="s">
        <v>50</v>
      </c>
      <c r="D19" s="13">
        <v>0.63194444444444442</v>
      </c>
      <c r="E19" s="1" t="s">
        <v>124</v>
      </c>
      <c r="F19" s="3">
        <v>500</v>
      </c>
    </row>
    <row r="20" spans="1:6" x14ac:dyDescent="0.35">
      <c r="A20" s="2">
        <v>46187</v>
      </c>
      <c r="B20" s="1" t="s">
        <v>68</v>
      </c>
      <c r="C20" s="1" t="s">
        <v>50</v>
      </c>
      <c r="D20" s="13">
        <v>0.63194444444444442</v>
      </c>
      <c r="E20" s="1" t="s">
        <v>124</v>
      </c>
      <c r="F20" s="3">
        <v>500</v>
      </c>
    </row>
    <row r="21" spans="1:6" x14ac:dyDescent="0.35">
      <c r="A21" s="2">
        <v>46187</v>
      </c>
      <c r="B21" s="1" t="s">
        <v>69</v>
      </c>
      <c r="C21" s="1" t="s">
        <v>50</v>
      </c>
      <c r="D21" s="13">
        <v>0.63263888888888886</v>
      </c>
      <c r="E21" s="1" t="s">
        <v>124</v>
      </c>
      <c r="F21" s="3">
        <v>500</v>
      </c>
    </row>
    <row r="22" spans="1:6" x14ac:dyDescent="0.35">
      <c r="A22" s="2">
        <v>46187</v>
      </c>
      <c r="B22" s="1" t="s">
        <v>70</v>
      </c>
      <c r="C22" s="1" t="s">
        <v>50</v>
      </c>
      <c r="D22" s="13">
        <v>0.63194444444444442</v>
      </c>
      <c r="E22" s="1" t="s">
        <v>124</v>
      </c>
      <c r="F22" s="3">
        <v>100</v>
      </c>
    </row>
    <row r="23" spans="1:6" x14ac:dyDescent="0.35">
      <c r="A23" s="2">
        <v>46187</v>
      </c>
      <c r="B23" s="1" t="s">
        <v>71</v>
      </c>
      <c r="C23" s="1" t="s">
        <v>50</v>
      </c>
      <c r="D23" s="13">
        <v>0.6333333333333333</v>
      </c>
      <c r="E23" s="1" t="s">
        <v>124</v>
      </c>
      <c r="F23" s="3">
        <v>100</v>
      </c>
    </row>
    <row r="24" spans="1:6" x14ac:dyDescent="0.35">
      <c r="A24" s="2">
        <v>46187</v>
      </c>
      <c r="B24" s="1" t="s">
        <v>72</v>
      </c>
      <c r="C24" s="1" t="s">
        <v>50</v>
      </c>
      <c r="D24" s="13">
        <v>0.63749999999999996</v>
      </c>
      <c r="E24" s="1" t="s">
        <v>124</v>
      </c>
      <c r="F24" s="3">
        <v>300</v>
      </c>
    </row>
    <row r="25" spans="1:6" x14ac:dyDescent="0.35">
      <c r="A25" s="2">
        <v>46187</v>
      </c>
      <c r="B25" s="1" t="s">
        <v>73</v>
      </c>
      <c r="C25" s="1" t="s">
        <v>50</v>
      </c>
      <c r="D25" s="13">
        <v>0.64097222222222228</v>
      </c>
      <c r="E25" s="1" t="s">
        <v>124</v>
      </c>
      <c r="F25" s="3">
        <v>100</v>
      </c>
    </row>
    <row r="26" spans="1:6" x14ac:dyDescent="0.35">
      <c r="A26" s="2">
        <v>46187</v>
      </c>
      <c r="B26" s="1" t="s">
        <v>74</v>
      </c>
      <c r="C26" s="1" t="s">
        <v>50</v>
      </c>
      <c r="D26" s="13">
        <v>0.63194444444444442</v>
      </c>
      <c r="E26" s="1" t="s">
        <v>124</v>
      </c>
      <c r="F26" s="3">
        <v>400</v>
      </c>
    </row>
    <row r="27" spans="1:6" x14ac:dyDescent="0.35">
      <c r="A27" s="2">
        <v>46187</v>
      </c>
      <c r="B27" s="1" t="s">
        <v>75</v>
      </c>
      <c r="C27" s="1" t="s">
        <v>50</v>
      </c>
      <c r="D27" s="13">
        <v>0.63402777777777775</v>
      </c>
      <c r="E27" s="1" t="s">
        <v>124</v>
      </c>
      <c r="F27" s="3">
        <v>100</v>
      </c>
    </row>
    <row r="28" spans="1:6" x14ac:dyDescent="0.35">
      <c r="A28" s="2">
        <v>46187</v>
      </c>
      <c r="B28" s="1" t="s">
        <v>76</v>
      </c>
      <c r="C28" s="1" t="s">
        <v>50</v>
      </c>
      <c r="D28" s="13">
        <v>0.63472222222222219</v>
      </c>
      <c r="E28" s="1" t="s">
        <v>124</v>
      </c>
      <c r="F28" s="3">
        <v>200</v>
      </c>
    </row>
    <row r="29" spans="1:6" x14ac:dyDescent="0.35">
      <c r="A29" s="2">
        <v>46187</v>
      </c>
      <c r="B29" s="1" t="s">
        <v>77</v>
      </c>
      <c r="C29" s="1" t="s">
        <v>50</v>
      </c>
      <c r="D29" s="13">
        <v>0.67222222222222228</v>
      </c>
      <c r="E29" s="1" t="s">
        <v>124</v>
      </c>
      <c r="F29" s="3">
        <v>500</v>
      </c>
    </row>
    <row r="30" spans="1:6" x14ac:dyDescent="0.35">
      <c r="A30" s="2">
        <v>46187</v>
      </c>
      <c r="B30" s="1" t="s">
        <v>78</v>
      </c>
      <c r="C30" s="1" t="s">
        <v>50</v>
      </c>
      <c r="D30" s="13">
        <v>0.63402777777777775</v>
      </c>
      <c r="E30" s="1" t="s">
        <v>124</v>
      </c>
      <c r="F30" s="3">
        <v>50</v>
      </c>
    </row>
    <row r="31" spans="1:6" x14ac:dyDescent="0.35">
      <c r="A31" s="2">
        <v>46187</v>
      </c>
      <c r="B31" s="1" t="s">
        <v>79</v>
      </c>
      <c r="C31" s="1" t="s">
        <v>50</v>
      </c>
      <c r="D31" s="13">
        <v>0.67152777777777772</v>
      </c>
      <c r="E31" s="1" t="s">
        <v>124</v>
      </c>
      <c r="F31" s="3">
        <v>1000</v>
      </c>
    </row>
    <row r="32" spans="1:6" x14ac:dyDescent="0.35">
      <c r="A32" s="2">
        <v>46187</v>
      </c>
      <c r="B32" s="1" t="s">
        <v>80</v>
      </c>
      <c r="C32" s="1" t="s">
        <v>50</v>
      </c>
      <c r="D32" s="13">
        <v>0.63263888888888886</v>
      </c>
      <c r="E32" s="1" t="s">
        <v>124</v>
      </c>
      <c r="F32" s="3">
        <v>100</v>
      </c>
    </row>
    <row r="33" spans="1:6" x14ac:dyDescent="0.35">
      <c r="A33" s="2">
        <v>46187</v>
      </c>
      <c r="B33" s="1" t="s">
        <v>81</v>
      </c>
      <c r="C33" s="1" t="s">
        <v>50</v>
      </c>
      <c r="D33" s="13">
        <v>0.67152777777777772</v>
      </c>
      <c r="E33" s="1" t="s">
        <v>124</v>
      </c>
      <c r="F33" s="3">
        <v>200</v>
      </c>
    </row>
    <row r="34" spans="1:6" x14ac:dyDescent="0.35">
      <c r="A34" s="2">
        <v>46187</v>
      </c>
      <c r="B34" s="1" t="s">
        <v>82</v>
      </c>
      <c r="C34" s="1" t="s">
        <v>50</v>
      </c>
      <c r="D34" s="13">
        <v>0.63402777777777775</v>
      </c>
      <c r="E34" s="1" t="s">
        <v>124</v>
      </c>
      <c r="F34" s="3">
        <v>100</v>
      </c>
    </row>
    <row r="35" spans="1:6" x14ac:dyDescent="0.35">
      <c r="A35" s="2">
        <v>46187</v>
      </c>
      <c r="B35" s="1" t="s">
        <v>83</v>
      </c>
      <c r="C35" s="1" t="s">
        <v>50</v>
      </c>
      <c r="D35" s="13">
        <v>0.84097222222222223</v>
      </c>
      <c r="E35" s="1" t="s">
        <v>124</v>
      </c>
      <c r="F35" s="3">
        <v>5650</v>
      </c>
    </row>
    <row r="36" spans="1:6" x14ac:dyDescent="0.35">
      <c r="A36" s="2">
        <v>46187</v>
      </c>
      <c r="B36" s="1" t="s">
        <v>84</v>
      </c>
      <c r="C36" s="1" t="s">
        <v>50</v>
      </c>
      <c r="D36" s="13">
        <v>0.63402777777777775</v>
      </c>
      <c r="E36" s="1" t="s">
        <v>124</v>
      </c>
      <c r="F36" s="3">
        <v>100</v>
      </c>
    </row>
    <row r="37" spans="1:6" x14ac:dyDescent="0.35">
      <c r="A37" s="2">
        <v>46187</v>
      </c>
      <c r="B37" s="1" t="s">
        <v>85</v>
      </c>
      <c r="C37" s="1" t="s">
        <v>50</v>
      </c>
      <c r="D37" s="13">
        <v>0.63472222222222219</v>
      </c>
      <c r="E37" s="1" t="s">
        <v>124</v>
      </c>
      <c r="F37" s="3">
        <v>100</v>
      </c>
    </row>
    <row r="38" spans="1:6" x14ac:dyDescent="0.35">
      <c r="A38" t="s">
        <v>132</v>
      </c>
      <c r="F38" s="7">
        <f>SUBTOTAL(109,Meals[Amount])</f>
        <v>27700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8169-74DE-4159-97FB-1ABB79436CDA}">
  <dimension ref="A1:B6"/>
  <sheetViews>
    <sheetView showGridLines="0" showRowColHeaders="0" tabSelected="1" workbookViewId="0">
      <selection activeCell="D16" sqref="D16"/>
    </sheetView>
  </sheetViews>
  <sheetFormatPr defaultRowHeight="17.25" x14ac:dyDescent="0.35"/>
  <cols>
    <col min="1" max="1" width="12.75" bestFit="1" customWidth="1"/>
    <col min="2" max="2" width="15.125" bestFit="1" customWidth="1"/>
    <col min="3" max="3" width="7.5" bestFit="1" customWidth="1"/>
    <col min="4" max="4" width="13.25" bestFit="1" customWidth="1"/>
    <col min="5" max="5" width="13.375" bestFit="1" customWidth="1"/>
    <col min="6" max="6" width="11.75" bestFit="1" customWidth="1"/>
  </cols>
  <sheetData>
    <row r="1" spans="1:2" x14ac:dyDescent="0.35">
      <c r="A1" s="5" t="s">
        <v>128</v>
      </c>
      <c r="B1" s="7" t="s">
        <v>139</v>
      </c>
    </row>
    <row r="2" spans="1:2" x14ac:dyDescent="0.35">
      <c r="A2" s="6" t="s">
        <v>0</v>
      </c>
      <c r="B2" s="7">
        <v>3220</v>
      </c>
    </row>
    <row r="3" spans="1:2" x14ac:dyDescent="0.35">
      <c r="A3" s="6" t="s">
        <v>50</v>
      </c>
      <c r="B3" s="7">
        <v>27700</v>
      </c>
    </row>
    <row r="4" spans="1:2" x14ac:dyDescent="0.35">
      <c r="A4" s="6" t="s">
        <v>48</v>
      </c>
      <c r="B4" s="7">
        <v>160</v>
      </c>
    </row>
    <row r="5" spans="1:2" x14ac:dyDescent="0.35">
      <c r="A5" s="6" t="s">
        <v>126</v>
      </c>
      <c r="B5" s="7">
        <v>2180</v>
      </c>
    </row>
    <row r="6" spans="1:2" x14ac:dyDescent="0.35">
      <c r="A6" s="6" t="s">
        <v>127</v>
      </c>
      <c r="B6" s="7">
        <v>33260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294A9-F34E-4988-9C45-29DA6CDCE581}">
  <dimension ref="A3:I67"/>
  <sheetViews>
    <sheetView showGridLines="0" showRowColHeaders="0" topLeftCell="A48" workbookViewId="0">
      <selection activeCell="F3" sqref="F3"/>
    </sheetView>
  </sheetViews>
  <sheetFormatPr defaultRowHeight="15" x14ac:dyDescent="0.35"/>
  <cols>
    <col min="1" max="1" width="10.625" customWidth="1"/>
    <col min="2" max="2" width="8" customWidth="1"/>
    <col min="3" max="3" width="13.5" customWidth="1"/>
    <col min="4" max="4" width="16.875" customWidth="1"/>
    <col min="5" max="5" width="10.875" customWidth="1"/>
    <col min="6" max="6" width="10.375" customWidth="1"/>
    <col min="8" max="8" width="15.875" bestFit="1" customWidth="1"/>
    <col min="9" max="9" width="10" bestFit="1" customWidth="1"/>
    <col min="10" max="10" width="10.625" customWidth="1"/>
    <col min="11" max="14" width="9.375" bestFit="1" customWidth="1"/>
    <col min="15" max="15" width="9.875" bestFit="1" customWidth="1"/>
  </cols>
  <sheetData>
    <row r="3" spans="1:9" ht="17.25" x14ac:dyDescent="0.35">
      <c r="A3" t="s">
        <v>1</v>
      </c>
      <c r="B3" t="s">
        <v>2</v>
      </c>
      <c r="C3" t="s">
        <v>3</v>
      </c>
      <c r="D3" t="s">
        <v>49</v>
      </c>
      <c r="E3" t="s">
        <v>133</v>
      </c>
      <c r="F3" s="3" t="s">
        <v>4</v>
      </c>
      <c r="H3" s="5" t="s">
        <v>128</v>
      </c>
      <c r="I3" s="7" t="s">
        <v>135</v>
      </c>
    </row>
    <row r="4" spans="1:9" ht="17.25" x14ac:dyDescent="0.35">
      <c r="A4" s="2">
        <v>46194</v>
      </c>
      <c r="B4" s="13">
        <v>0.63194444444444442</v>
      </c>
      <c r="C4" s="1" t="s">
        <v>5</v>
      </c>
      <c r="D4" s="1" t="s">
        <v>0</v>
      </c>
      <c r="E4" s="1" t="s">
        <v>29</v>
      </c>
      <c r="F4" s="3">
        <v>100</v>
      </c>
      <c r="H4" s="6" t="s">
        <v>0</v>
      </c>
      <c r="I4" s="7"/>
    </row>
    <row r="5" spans="1:9" ht="17.25" x14ac:dyDescent="0.35">
      <c r="A5" s="2">
        <v>46194</v>
      </c>
      <c r="B5" s="13">
        <v>0.63194444444444442</v>
      </c>
      <c r="C5" s="1" t="s">
        <v>6</v>
      </c>
      <c r="D5" s="1" t="s">
        <v>0</v>
      </c>
      <c r="E5" s="1" t="s">
        <v>29</v>
      </c>
      <c r="F5" s="3">
        <v>200</v>
      </c>
      <c r="H5" s="8" t="s">
        <v>129</v>
      </c>
      <c r="I5" s="7">
        <v>2880</v>
      </c>
    </row>
    <row r="6" spans="1:9" ht="17.25" x14ac:dyDescent="0.35">
      <c r="A6" s="2">
        <v>46194</v>
      </c>
      <c r="B6" s="13">
        <v>0.6333333333333333</v>
      </c>
      <c r="C6" s="1" t="s">
        <v>7</v>
      </c>
      <c r="D6" s="1" t="s">
        <v>0</v>
      </c>
      <c r="E6" s="1" t="s">
        <v>29</v>
      </c>
      <c r="F6" s="3">
        <v>200</v>
      </c>
      <c r="H6" s="8" t="s">
        <v>130</v>
      </c>
      <c r="I6" s="7">
        <v>230</v>
      </c>
    </row>
    <row r="7" spans="1:9" ht="17.25" x14ac:dyDescent="0.35">
      <c r="A7" s="2">
        <v>46194</v>
      </c>
      <c r="B7" s="13">
        <v>0.63263888888888886</v>
      </c>
      <c r="C7" s="1" t="s">
        <v>8</v>
      </c>
      <c r="D7" s="1" t="s">
        <v>0</v>
      </c>
      <c r="E7" s="1" t="s">
        <v>29</v>
      </c>
      <c r="F7" s="3">
        <v>500</v>
      </c>
      <c r="H7" s="8" t="s">
        <v>134</v>
      </c>
      <c r="I7" s="7">
        <v>110</v>
      </c>
    </row>
    <row r="8" spans="1:9" ht="17.25" x14ac:dyDescent="0.35">
      <c r="A8" s="2">
        <v>46194</v>
      </c>
      <c r="B8" s="13">
        <v>0.63263888888888886</v>
      </c>
      <c r="C8" s="1" t="s">
        <v>9</v>
      </c>
      <c r="D8" s="1" t="s">
        <v>0</v>
      </c>
      <c r="E8" s="1" t="s">
        <v>29</v>
      </c>
      <c r="F8" s="3">
        <v>200</v>
      </c>
      <c r="H8" s="6" t="s">
        <v>50</v>
      </c>
      <c r="I8" s="7"/>
    </row>
    <row r="9" spans="1:9" ht="17.25" x14ac:dyDescent="0.35">
      <c r="A9" s="2">
        <v>46194</v>
      </c>
      <c r="B9" s="13">
        <v>0.62986111111111109</v>
      </c>
      <c r="C9" s="1" t="s">
        <v>10</v>
      </c>
      <c r="D9" s="1" t="s">
        <v>0</v>
      </c>
      <c r="E9" s="1" t="s">
        <v>29</v>
      </c>
      <c r="F9" s="3">
        <v>110</v>
      </c>
      <c r="H9" s="8" t="s">
        <v>129</v>
      </c>
      <c r="I9" s="7">
        <v>27700</v>
      </c>
    </row>
    <row r="10" spans="1:9" ht="17.25" x14ac:dyDescent="0.35">
      <c r="A10" s="2">
        <v>46194</v>
      </c>
      <c r="B10" s="13">
        <v>0.63194444444444442</v>
      </c>
      <c r="C10" s="1" t="s">
        <v>11</v>
      </c>
      <c r="D10" s="1" t="s">
        <v>0</v>
      </c>
      <c r="E10" s="1" t="s">
        <v>29</v>
      </c>
      <c r="F10" s="3">
        <v>30</v>
      </c>
      <c r="H10" s="6" t="s">
        <v>48</v>
      </c>
      <c r="I10" s="7"/>
    </row>
    <row r="11" spans="1:9" ht="17.25" x14ac:dyDescent="0.35">
      <c r="A11" s="2">
        <v>46194</v>
      </c>
      <c r="B11" s="13">
        <v>0.63055555555555554</v>
      </c>
      <c r="C11" s="1" t="s">
        <v>12</v>
      </c>
      <c r="D11" s="1" t="s">
        <v>0</v>
      </c>
      <c r="E11" s="1" t="s">
        <v>29</v>
      </c>
      <c r="F11" s="3">
        <v>500</v>
      </c>
      <c r="H11" s="8" t="s">
        <v>138</v>
      </c>
      <c r="I11" s="7">
        <v>60</v>
      </c>
    </row>
    <row r="12" spans="1:9" ht="17.25" x14ac:dyDescent="0.35">
      <c r="A12" s="2">
        <v>46194</v>
      </c>
      <c r="B12" s="13">
        <v>0.63263888888888886</v>
      </c>
      <c r="C12" s="1" t="s">
        <v>14</v>
      </c>
      <c r="D12" s="1" t="s">
        <v>126</v>
      </c>
      <c r="E12" s="1" t="s">
        <v>30</v>
      </c>
      <c r="F12" s="3">
        <v>90</v>
      </c>
      <c r="H12" s="8" t="s">
        <v>130</v>
      </c>
      <c r="I12" s="7">
        <v>100</v>
      </c>
    </row>
    <row r="13" spans="1:9" ht="17.25" x14ac:dyDescent="0.35">
      <c r="A13" s="2">
        <v>46194</v>
      </c>
      <c r="B13" s="13">
        <v>0.6333333333333333</v>
      </c>
      <c r="C13" s="1" t="s">
        <v>15</v>
      </c>
      <c r="D13" s="1" t="s">
        <v>126</v>
      </c>
      <c r="E13" s="1" t="s">
        <v>30</v>
      </c>
      <c r="F13" s="3">
        <v>250</v>
      </c>
      <c r="H13" s="6" t="s">
        <v>126</v>
      </c>
      <c r="I13" s="7"/>
    </row>
    <row r="14" spans="1:9" ht="17.25" x14ac:dyDescent="0.35">
      <c r="A14" s="2">
        <v>46194</v>
      </c>
      <c r="B14" s="13">
        <v>0.63263888888888886</v>
      </c>
      <c r="C14" s="1" t="s">
        <v>16</v>
      </c>
      <c r="D14" s="1" t="s">
        <v>126</v>
      </c>
      <c r="E14" s="1" t="s">
        <v>30</v>
      </c>
      <c r="F14" s="3">
        <v>500</v>
      </c>
      <c r="H14" s="8" t="s">
        <v>129</v>
      </c>
      <c r="I14" s="7">
        <v>2080</v>
      </c>
    </row>
    <row r="15" spans="1:9" ht="17.25" x14ac:dyDescent="0.35">
      <c r="A15" s="2">
        <v>46194</v>
      </c>
      <c r="B15" s="13">
        <v>0.63263888888888886</v>
      </c>
      <c r="C15" s="1" t="s">
        <v>17</v>
      </c>
      <c r="D15" s="1" t="s">
        <v>126</v>
      </c>
      <c r="E15" s="1" t="s">
        <v>30</v>
      </c>
      <c r="F15" s="3">
        <v>200</v>
      </c>
      <c r="H15" s="8" t="s">
        <v>131</v>
      </c>
      <c r="I15" s="7">
        <v>100</v>
      </c>
    </row>
    <row r="16" spans="1:9" ht="17.25" x14ac:dyDescent="0.35">
      <c r="A16" s="2">
        <v>46194</v>
      </c>
      <c r="B16" s="13">
        <v>0.63194444444444442</v>
      </c>
      <c r="C16" s="1" t="s">
        <v>13</v>
      </c>
      <c r="D16" s="1" t="s">
        <v>0</v>
      </c>
      <c r="E16" s="1" t="s">
        <v>29</v>
      </c>
      <c r="F16" s="3">
        <v>200</v>
      </c>
      <c r="H16" s="6" t="s">
        <v>127</v>
      </c>
      <c r="I16" s="7">
        <v>33260</v>
      </c>
    </row>
    <row r="17" spans="1:6" ht="17.25" x14ac:dyDescent="0.35">
      <c r="A17" s="2">
        <v>46194</v>
      </c>
      <c r="B17" s="13">
        <v>0.63263888888888886</v>
      </c>
      <c r="C17" s="1" t="s">
        <v>9</v>
      </c>
      <c r="D17" s="1" t="s">
        <v>0</v>
      </c>
      <c r="E17" s="1" t="s">
        <v>29</v>
      </c>
      <c r="F17" s="3">
        <v>200</v>
      </c>
    </row>
    <row r="18" spans="1:6" ht="17.25" x14ac:dyDescent="0.35">
      <c r="A18" s="2">
        <v>46194</v>
      </c>
      <c r="B18" s="13">
        <v>0.62986111111111109</v>
      </c>
      <c r="C18" s="1" t="s">
        <v>10</v>
      </c>
      <c r="D18" s="1" t="s">
        <v>0</v>
      </c>
      <c r="E18" s="1" t="s">
        <v>29</v>
      </c>
      <c r="F18" s="3">
        <v>110</v>
      </c>
    </row>
    <row r="19" spans="1:6" ht="17.25" x14ac:dyDescent="0.35">
      <c r="A19" s="2">
        <v>46194</v>
      </c>
      <c r="B19" s="13">
        <v>0.63194444444444442</v>
      </c>
      <c r="C19" s="1" t="s">
        <v>11</v>
      </c>
      <c r="D19" s="1" t="s">
        <v>0</v>
      </c>
      <c r="E19" s="1" t="s">
        <v>29</v>
      </c>
      <c r="F19" s="3">
        <v>30</v>
      </c>
    </row>
    <row r="20" spans="1:6" ht="17.25" x14ac:dyDescent="0.35">
      <c r="A20" s="2">
        <v>46194</v>
      </c>
      <c r="B20" s="13">
        <v>0.63055555555555554</v>
      </c>
      <c r="C20" s="1" t="s">
        <v>12</v>
      </c>
      <c r="D20" s="1" t="s">
        <v>0</v>
      </c>
      <c r="E20" s="1" t="s">
        <v>29</v>
      </c>
      <c r="F20" s="3">
        <v>500</v>
      </c>
    </row>
    <row r="21" spans="1:6" ht="17.25" x14ac:dyDescent="0.35">
      <c r="A21" s="2">
        <v>46194</v>
      </c>
      <c r="B21" s="13">
        <v>0.63263888888888886</v>
      </c>
      <c r="C21" s="1" t="s">
        <v>14</v>
      </c>
      <c r="D21" s="1" t="s">
        <v>126</v>
      </c>
      <c r="E21" s="1" t="s">
        <v>30</v>
      </c>
      <c r="F21" s="3">
        <v>90</v>
      </c>
    </row>
    <row r="22" spans="1:6" ht="17.25" x14ac:dyDescent="0.35">
      <c r="A22" s="2">
        <v>46194</v>
      </c>
      <c r="B22" s="13">
        <v>0.6333333333333333</v>
      </c>
      <c r="C22" s="1" t="s">
        <v>15</v>
      </c>
      <c r="D22" s="1" t="s">
        <v>126</v>
      </c>
      <c r="E22" s="1" t="s">
        <v>30</v>
      </c>
      <c r="F22" s="3">
        <v>250</v>
      </c>
    </row>
    <row r="23" spans="1:6" ht="17.25" x14ac:dyDescent="0.35">
      <c r="A23" s="2">
        <v>46194</v>
      </c>
      <c r="B23" s="13">
        <v>0.63263888888888886</v>
      </c>
      <c r="C23" s="1" t="s">
        <v>16</v>
      </c>
      <c r="D23" s="1" t="s">
        <v>126</v>
      </c>
      <c r="E23" s="1" t="s">
        <v>30</v>
      </c>
      <c r="F23" s="3">
        <v>500</v>
      </c>
    </row>
    <row r="24" spans="1:6" ht="17.25" x14ac:dyDescent="0.35">
      <c r="A24" s="2">
        <v>46194</v>
      </c>
      <c r="B24" s="13">
        <v>0.63263888888888886</v>
      </c>
      <c r="C24" s="1" t="s">
        <v>17</v>
      </c>
      <c r="D24" s="1" t="s">
        <v>126</v>
      </c>
      <c r="E24" s="1" t="s">
        <v>30</v>
      </c>
      <c r="F24" s="3">
        <v>200</v>
      </c>
    </row>
    <row r="25" spans="1:6" ht="17.25" x14ac:dyDescent="0.35">
      <c r="A25" s="2">
        <v>46306</v>
      </c>
      <c r="B25" s="13">
        <v>0.48055555555555557</v>
      </c>
      <c r="C25" s="1" t="s">
        <v>31</v>
      </c>
      <c r="D25" s="1" t="s">
        <v>126</v>
      </c>
      <c r="E25" s="1" t="s">
        <v>30</v>
      </c>
      <c r="F25" s="3">
        <v>100</v>
      </c>
    </row>
    <row r="26" spans="1:6" ht="17.25" x14ac:dyDescent="0.35">
      <c r="A26" s="2">
        <v>46187</v>
      </c>
      <c r="B26" s="13">
        <v>0.84097222222222223</v>
      </c>
      <c r="C26" s="1" t="s">
        <v>83</v>
      </c>
      <c r="D26" s="1" t="s">
        <v>50</v>
      </c>
      <c r="E26" s="1" t="s">
        <v>124</v>
      </c>
      <c r="F26" s="3">
        <v>5650</v>
      </c>
    </row>
    <row r="27" spans="1:6" ht="17.25" x14ac:dyDescent="0.35">
      <c r="A27" s="2">
        <v>46278</v>
      </c>
      <c r="B27" s="13">
        <v>0.55208333333333337</v>
      </c>
      <c r="C27" s="1" t="s">
        <v>20</v>
      </c>
      <c r="D27" s="1" t="s">
        <v>0</v>
      </c>
      <c r="E27" s="1" t="s">
        <v>29</v>
      </c>
      <c r="F27" s="3">
        <v>110</v>
      </c>
    </row>
    <row r="28" spans="1:6" ht="17.25" x14ac:dyDescent="0.35">
      <c r="A28" s="2">
        <v>46264</v>
      </c>
      <c r="B28" s="13">
        <v>0.57708333333333328</v>
      </c>
      <c r="C28" s="1" t="s">
        <v>21</v>
      </c>
      <c r="D28" s="1" t="s">
        <v>0</v>
      </c>
      <c r="E28" s="1" t="s">
        <v>29</v>
      </c>
      <c r="F28" s="3">
        <v>80</v>
      </c>
    </row>
    <row r="29" spans="1:6" ht="17.25" x14ac:dyDescent="0.35">
      <c r="A29" s="2">
        <v>46257</v>
      </c>
      <c r="B29" s="13">
        <v>0.60763888888888884</v>
      </c>
      <c r="C29" s="1" t="s">
        <v>22</v>
      </c>
      <c r="D29" s="1" t="s">
        <v>0</v>
      </c>
      <c r="E29" s="1" t="s">
        <v>29</v>
      </c>
      <c r="F29" s="3">
        <v>150</v>
      </c>
    </row>
    <row r="30" spans="1:6" ht="17.25" x14ac:dyDescent="0.35">
      <c r="A30" s="2">
        <v>46257</v>
      </c>
      <c r="B30" s="13">
        <v>0.47638888888888886</v>
      </c>
      <c r="C30" s="1" t="s">
        <v>33</v>
      </c>
      <c r="D30" s="1" t="s">
        <v>48</v>
      </c>
      <c r="E30" s="1" t="s">
        <v>34</v>
      </c>
      <c r="F30" s="3">
        <v>100</v>
      </c>
    </row>
    <row r="31" spans="1:6" ht="17.25" x14ac:dyDescent="0.35">
      <c r="A31" s="2">
        <v>46187</v>
      </c>
      <c r="B31" s="13">
        <v>0.63194444444444442</v>
      </c>
      <c r="C31" s="1" t="s">
        <v>51</v>
      </c>
      <c r="D31" s="1" t="s">
        <v>50</v>
      </c>
      <c r="E31" s="1" t="s">
        <v>124</v>
      </c>
      <c r="F31" s="3">
        <v>500</v>
      </c>
    </row>
    <row r="32" spans="1:6" ht="17.25" x14ac:dyDescent="0.35">
      <c r="A32" s="2">
        <v>46187</v>
      </c>
      <c r="B32" s="13">
        <v>0.6333333333333333</v>
      </c>
      <c r="C32" s="1" t="s">
        <v>52</v>
      </c>
      <c r="D32" s="1" t="s">
        <v>50</v>
      </c>
      <c r="E32" s="1" t="s">
        <v>124</v>
      </c>
      <c r="F32" s="3">
        <v>100</v>
      </c>
    </row>
    <row r="33" spans="1:6" ht="17.25" x14ac:dyDescent="0.35">
      <c r="A33" s="2">
        <v>46187</v>
      </c>
      <c r="B33" s="13">
        <v>0.6333333333333333</v>
      </c>
      <c r="C33" s="1" t="s">
        <v>53</v>
      </c>
      <c r="D33" s="1" t="s">
        <v>50</v>
      </c>
      <c r="E33" s="1" t="s">
        <v>124</v>
      </c>
      <c r="F33" s="3">
        <v>5000</v>
      </c>
    </row>
    <row r="34" spans="1:6" ht="17.25" x14ac:dyDescent="0.35">
      <c r="A34" s="2">
        <v>46187</v>
      </c>
      <c r="B34" s="13">
        <v>0.6333333333333333</v>
      </c>
      <c r="C34" s="1" t="s">
        <v>54</v>
      </c>
      <c r="D34" s="1" t="s">
        <v>50</v>
      </c>
      <c r="E34" s="1" t="s">
        <v>124</v>
      </c>
      <c r="F34" s="3">
        <v>500</v>
      </c>
    </row>
    <row r="35" spans="1:6" ht="17.25" x14ac:dyDescent="0.35">
      <c r="A35" s="2">
        <v>46187</v>
      </c>
      <c r="B35" s="13">
        <v>0.6333333333333333</v>
      </c>
      <c r="C35" s="1" t="s">
        <v>55</v>
      </c>
      <c r="D35" s="1" t="s">
        <v>50</v>
      </c>
      <c r="E35" s="1" t="s">
        <v>124</v>
      </c>
      <c r="F35" s="3">
        <v>1000</v>
      </c>
    </row>
    <row r="36" spans="1:6" ht="17.25" x14ac:dyDescent="0.35">
      <c r="A36" s="2">
        <v>46187</v>
      </c>
      <c r="B36" s="13">
        <v>0.63263888888888886</v>
      </c>
      <c r="C36" s="1" t="s">
        <v>56</v>
      </c>
      <c r="D36" s="1" t="s">
        <v>50</v>
      </c>
      <c r="E36" s="1" t="s">
        <v>124</v>
      </c>
      <c r="F36" s="3">
        <v>200</v>
      </c>
    </row>
    <row r="37" spans="1:6" ht="17.25" x14ac:dyDescent="0.35">
      <c r="A37" s="2">
        <v>46187</v>
      </c>
      <c r="B37" s="13">
        <v>0.63263888888888886</v>
      </c>
      <c r="C37" s="1" t="s">
        <v>57</v>
      </c>
      <c r="D37" s="1" t="s">
        <v>50</v>
      </c>
      <c r="E37" s="1" t="s">
        <v>124</v>
      </c>
      <c r="F37" s="3">
        <v>500</v>
      </c>
    </row>
    <row r="38" spans="1:6" ht="17.25" x14ac:dyDescent="0.35">
      <c r="A38" s="2">
        <v>46187</v>
      </c>
      <c r="B38" s="13">
        <v>0.63263888888888886</v>
      </c>
      <c r="C38" s="1" t="s">
        <v>58</v>
      </c>
      <c r="D38" s="1" t="s">
        <v>50</v>
      </c>
      <c r="E38" s="1" t="s">
        <v>124</v>
      </c>
      <c r="F38" s="3">
        <v>100</v>
      </c>
    </row>
    <row r="39" spans="1:6" ht="17.25" x14ac:dyDescent="0.35">
      <c r="A39" s="2">
        <v>46187</v>
      </c>
      <c r="B39" s="13">
        <v>0.6333333333333333</v>
      </c>
      <c r="C39" s="1" t="s">
        <v>59</v>
      </c>
      <c r="D39" s="1" t="s">
        <v>50</v>
      </c>
      <c r="E39" s="1" t="s">
        <v>124</v>
      </c>
      <c r="F39" s="3">
        <v>2500</v>
      </c>
    </row>
    <row r="40" spans="1:6" ht="17.25" x14ac:dyDescent="0.35">
      <c r="A40" s="2">
        <v>46187</v>
      </c>
      <c r="B40" s="13">
        <v>0.63263888888888886</v>
      </c>
      <c r="C40" s="1" t="s">
        <v>60</v>
      </c>
      <c r="D40" s="1" t="s">
        <v>50</v>
      </c>
      <c r="E40" s="1" t="s">
        <v>124</v>
      </c>
      <c r="F40" s="3">
        <v>100</v>
      </c>
    </row>
    <row r="41" spans="1:6" ht="17.25" x14ac:dyDescent="0.35">
      <c r="A41" s="2">
        <v>46187</v>
      </c>
      <c r="B41" s="13">
        <v>0.6333333333333333</v>
      </c>
      <c r="C41" s="1" t="s">
        <v>61</v>
      </c>
      <c r="D41" s="1" t="s">
        <v>50</v>
      </c>
      <c r="E41" s="1" t="s">
        <v>124</v>
      </c>
      <c r="F41" s="3">
        <v>100</v>
      </c>
    </row>
    <row r="42" spans="1:6" ht="17.25" x14ac:dyDescent="0.35">
      <c r="A42" s="2">
        <v>46187</v>
      </c>
      <c r="B42" s="13">
        <v>0.6333333333333333</v>
      </c>
      <c r="C42" s="1" t="s">
        <v>62</v>
      </c>
      <c r="D42" s="1" t="s">
        <v>50</v>
      </c>
      <c r="E42" s="1" t="s">
        <v>124</v>
      </c>
      <c r="F42" s="3">
        <v>500</v>
      </c>
    </row>
    <row r="43" spans="1:6" ht="17.25" x14ac:dyDescent="0.35">
      <c r="A43" s="2">
        <v>46187</v>
      </c>
      <c r="B43" s="13">
        <v>0.63472222222222219</v>
      </c>
      <c r="C43" s="1" t="s">
        <v>63</v>
      </c>
      <c r="D43" s="1" t="s">
        <v>50</v>
      </c>
      <c r="E43" s="1" t="s">
        <v>124</v>
      </c>
      <c r="F43" s="3">
        <v>100</v>
      </c>
    </row>
    <row r="44" spans="1:6" ht="17.25" x14ac:dyDescent="0.35">
      <c r="A44" s="2">
        <v>46187</v>
      </c>
      <c r="B44" s="13">
        <v>0.63680555555555551</v>
      </c>
      <c r="C44" s="1" t="s">
        <v>64</v>
      </c>
      <c r="D44" s="1" t="s">
        <v>50</v>
      </c>
      <c r="E44" s="1" t="s">
        <v>124</v>
      </c>
      <c r="F44" s="3">
        <v>100</v>
      </c>
    </row>
    <row r="45" spans="1:6" ht="17.25" x14ac:dyDescent="0.35">
      <c r="A45" s="2">
        <v>46187</v>
      </c>
      <c r="B45" s="13">
        <v>0.63541666666666663</v>
      </c>
      <c r="C45" s="1" t="s">
        <v>65</v>
      </c>
      <c r="D45" s="1" t="s">
        <v>50</v>
      </c>
      <c r="E45" s="1" t="s">
        <v>124</v>
      </c>
      <c r="F45" s="3">
        <v>100</v>
      </c>
    </row>
    <row r="46" spans="1:6" ht="17.25" x14ac:dyDescent="0.35">
      <c r="A46" s="2">
        <v>46187</v>
      </c>
      <c r="B46" s="13">
        <v>0.63541666666666663</v>
      </c>
      <c r="C46" s="1" t="s">
        <v>66</v>
      </c>
      <c r="D46" s="1" t="s">
        <v>50</v>
      </c>
      <c r="E46" s="1" t="s">
        <v>124</v>
      </c>
      <c r="F46" s="3">
        <v>50</v>
      </c>
    </row>
    <row r="47" spans="1:6" ht="17.25" x14ac:dyDescent="0.35">
      <c r="A47" s="2">
        <v>46187</v>
      </c>
      <c r="B47" s="13">
        <v>0.63194444444444442</v>
      </c>
      <c r="C47" s="1" t="s">
        <v>67</v>
      </c>
      <c r="D47" s="1" t="s">
        <v>50</v>
      </c>
      <c r="E47" s="1" t="s">
        <v>124</v>
      </c>
      <c r="F47" s="3">
        <v>500</v>
      </c>
    </row>
    <row r="48" spans="1:6" ht="17.25" x14ac:dyDescent="0.35">
      <c r="A48" s="2">
        <v>46187</v>
      </c>
      <c r="B48" s="13">
        <v>0.63194444444444442</v>
      </c>
      <c r="C48" s="1" t="s">
        <v>68</v>
      </c>
      <c r="D48" s="1" t="s">
        <v>50</v>
      </c>
      <c r="E48" s="1" t="s">
        <v>124</v>
      </c>
      <c r="F48" s="3">
        <v>500</v>
      </c>
    </row>
    <row r="49" spans="1:6" ht="17.25" x14ac:dyDescent="0.35">
      <c r="A49" s="2">
        <v>46187</v>
      </c>
      <c r="B49" s="13">
        <v>0.63263888888888886</v>
      </c>
      <c r="C49" s="1" t="s">
        <v>69</v>
      </c>
      <c r="D49" s="1" t="s">
        <v>50</v>
      </c>
      <c r="E49" s="1" t="s">
        <v>124</v>
      </c>
      <c r="F49" s="3">
        <v>500</v>
      </c>
    </row>
    <row r="50" spans="1:6" ht="17.25" x14ac:dyDescent="0.35">
      <c r="A50" s="2">
        <v>46187</v>
      </c>
      <c r="B50" s="13">
        <v>0.63194444444444442</v>
      </c>
      <c r="C50" s="1" t="s">
        <v>70</v>
      </c>
      <c r="D50" s="1" t="s">
        <v>50</v>
      </c>
      <c r="E50" s="1" t="s">
        <v>124</v>
      </c>
      <c r="F50" s="3">
        <v>100</v>
      </c>
    </row>
    <row r="51" spans="1:6" ht="17.25" x14ac:dyDescent="0.35">
      <c r="A51" s="2">
        <v>46187</v>
      </c>
      <c r="B51" s="13">
        <v>0.6333333333333333</v>
      </c>
      <c r="C51" s="1" t="s">
        <v>71</v>
      </c>
      <c r="D51" s="1" t="s">
        <v>50</v>
      </c>
      <c r="E51" s="1" t="s">
        <v>124</v>
      </c>
      <c r="F51" s="3">
        <v>100</v>
      </c>
    </row>
    <row r="52" spans="1:6" ht="17.25" x14ac:dyDescent="0.35">
      <c r="A52" s="2">
        <v>46187</v>
      </c>
      <c r="B52" s="13">
        <v>0.63749999999999996</v>
      </c>
      <c r="C52" s="1" t="s">
        <v>72</v>
      </c>
      <c r="D52" s="1" t="s">
        <v>50</v>
      </c>
      <c r="E52" s="1" t="s">
        <v>124</v>
      </c>
      <c r="F52" s="3">
        <v>300</v>
      </c>
    </row>
    <row r="53" spans="1:6" ht="17.25" x14ac:dyDescent="0.35">
      <c r="A53" s="2">
        <v>46187</v>
      </c>
      <c r="B53" s="13">
        <v>0.64097222222222228</v>
      </c>
      <c r="C53" s="1" t="s">
        <v>73</v>
      </c>
      <c r="D53" s="1" t="s">
        <v>50</v>
      </c>
      <c r="E53" s="1" t="s">
        <v>124</v>
      </c>
      <c r="F53" s="3">
        <v>100</v>
      </c>
    </row>
    <row r="54" spans="1:6" ht="17.25" x14ac:dyDescent="0.35">
      <c r="A54" s="2">
        <v>46187</v>
      </c>
      <c r="B54" s="13">
        <v>0.63194444444444442</v>
      </c>
      <c r="C54" s="1" t="s">
        <v>74</v>
      </c>
      <c r="D54" s="1" t="s">
        <v>50</v>
      </c>
      <c r="E54" s="1" t="s">
        <v>124</v>
      </c>
      <c r="F54" s="3">
        <v>400</v>
      </c>
    </row>
    <row r="55" spans="1:6" ht="17.25" x14ac:dyDescent="0.35">
      <c r="A55" s="2">
        <v>46187</v>
      </c>
      <c r="B55" s="13">
        <v>0.63402777777777775</v>
      </c>
      <c r="C55" s="1" t="s">
        <v>75</v>
      </c>
      <c r="D55" s="1" t="s">
        <v>50</v>
      </c>
      <c r="E55" s="1" t="s">
        <v>124</v>
      </c>
      <c r="F55" s="3">
        <v>100</v>
      </c>
    </row>
    <row r="56" spans="1:6" ht="17.25" x14ac:dyDescent="0.35">
      <c r="A56" s="2">
        <v>46187</v>
      </c>
      <c r="B56" s="13">
        <v>0.63472222222222219</v>
      </c>
      <c r="C56" s="1" t="s">
        <v>76</v>
      </c>
      <c r="D56" s="1" t="s">
        <v>50</v>
      </c>
      <c r="E56" s="1" t="s">
        <v>124</v>
      </c>
      <c r="F56" s="3">
        <v>200</v>
      </c>
    </row>
    <row r="57" spans="1:6" ht="17.25" x14ac:dyDescent="0.35">
      <c r="A57" s="2">
        <v>46187</v>
      </c>
      <c r="B57" s="13">
        <v>0.67222222222222228</v>
      </c>
      <c r="C57" s="1" t="s">
        <v>77</v>
      </c>
      <c r="D57" s="1" t="s">
        <v>50</v>
      </c>
      <c r="E57" s="1" t="s">
        <v>124</v>
      </c>
      <c r="F57" s="3">
        <v>500</v>
      </c>
    </row>
    <row r="58" spans="1:6" ht="17.25" x14ac:dyDescent="0.35">
      <c r="A58" s="2">
        <v>46187</v>
      </c>
      <c r="B58" s="13">
        <v>0.63402777777777775</v>
      </c>
      <c r="C58" s="1" t="s">
        <v>78</v>
      </c>
      <c r="D58" s="1" t="s">
        <v>50</v>
      </c>
      <c r="E58" s="1" t="s">
        <v>124</v>
      </c>
      <c r="F58" s="3">
        <v>50</v>
      </c>
    </row>
    <row r="59" spans="1:6" ht="17.25" x14ac:dyDescent="0.35">
      <c r="A59" s="2">
        <v>46187</v>
      </c>
      <c r="B59" s="13">
        <v>0.67152777777777772</v>
      </c>
      <c r="C59" s="1" t="s">
        <v>79</v>
      </c>
      <c r="D59" s="1" t="s">
        <v>50</v>
      </c>
      <c r="E59" s="1" t="s">
        <v>124</v>
      </c>
      <c r="F59" s="3">
        <v>1000</v>
      </c>
    </row>
    <row r="60" spans="1:6" ht="17.25" x14ac:dyDescent="0.35">
      <c r="A60" s="2">
        <v>46187</v>
      </c>
      <c r="B60" s="13">
        <v>0.63263888888888886</v>
      </c>
      <c r="C60" s="1" t="s">
        <v>80</v>
      </c>
      <c r="D60" s="1" t="s">
        <v>50</v>
      </c>
      <c r="E60" s="1" t="s">
        <v>124</v>
      </c>
      <c r="F60" s="3">
        <v>100</v>
      </c>
    </row>
    <row r="61" spans="1:6" ht="17.25" x14ac:dyDescent="0.35">
      <c r="A61" s="2">
        <v>46187</v>
      </c>
      <c r="B61" s="13">
        <v>0.67152777777777772</v>
      </c>
      <c r="C61" s="1" t="s">
        <v>81</v>
      </c>
      <c r="D61" s="1" t="s">
        <v>50</v>
      </c>
      <c r="E61" s="1" t="s">
        <v>124</v>
      </c>
      <c r="F61" s="3">
        <v>200</v>
      </c>
    </row>
    <row r="62" spans="1:6" ht="17.25" x14ac:dyDescent="0.35">
      <c r="A62" s="2">
        <v>46233</v>
      </c>
      <c r="B62" s="13">
        <v>0.88611111111111107</v>
      </c>
      <c r="C62" s="1" t="s">
        <v>125</v>
      </c>
      <c r="D62" s="1" t="s">
        <v>48</v>
      </c>
      <c r="E62" s="1" t="s">
        <v>34</v>
      </c>
      <c r="F62" s="3">
        <v>60</v>
      </c>
    </row>
    <row r="63" spans="1:6" ht="17.25" x14ac:dyDescent="0.35">
      <c r="A63" s="2">
        <v>46187</v>
      </c>
      <c r="B63" s="13">
        <v>0.63402777777777775</v>
      </c>
      <c r="C63" s="1" t="s">
        <v>82</v>
      </c>
      <c r="D63" s="1" t="s">
        <v>50</v>
      </c>
      <c r="E63" s="1" t="s">
        <v>124</v>
      </c>
      <c r="F63" s="3">
        <v>100</v>
      </c>
    </row>
    <row r="64" spans="1:6" ht="17.25" x14ac:dyDescent="0.35">
      <c r="A64" s="2">
        <v>46187</v>
      </c>
      <c r="B64" s="13">
        <v>0.84097222222222223</v>
      </c>
      <c r="C64" s="1" t="s">
        <v>83</v>
      </c>
      <c r="D64" s="1" t="s">
        <v>50</v>
      </c>
      <c r="E64" s="1" t="s">
        <v>124</v>
      </c>
      <c r="F64" s="3">
        <v>5650</v>
      </c>
    </row>
    <row r="65" spans="1:6" ht="17.25" x14ac:dyDescent="0.35">
      <c r="A65" s="2">
        <v>46187</v>
      </c>
      <c r="B65" s="13">
        <v>0.63402777777777775</v>
      </c>
      <c r="C65" s="1" t="s">
        <v>84</v>
      </c>
      <c r="D65" s="1" t="s">
        <v>50</v>
      </c>
      <c r="E65" s="1" t="s">
        <v>124</v>
      </c>
      <c r="F65" s="3">
        <v>100</v>
      </c>
    </row>
    <row r="66" spans="1:6" ht="17.25" x14ac:dyDescent="0.35">
      <c r="A66" s="2">
        <v>46187</v>
      </c>
      <c r="B66" s="13">
        <v>0.63472222222222219</v>
      </c>
      <c r="C66" s="1" t="s">
        <v>85</v>
      </c>
      <c r="D66" s="1" t="s">
        <v>50</v>
      </c>
      <c r="E66" s="1" t="s">
        <v>124</v>
      </c>
      <c r="F66" s="3">
        <v>100</v>
      </c>
    </row>
    <row r="67" spans="1:6" ht="17.25" x14ac:dyDescent="0.35">
      <c r="A67" t="s">
        <v>132</v>
      </c>
      <c r="F67" s="3">
        <f>SUBTOTAL(109,PivotReport[Amount])</f>
        <v>33260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BC5957D0-9933-454F-B87A-159DFF176BB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1E353F7-2893-463E-985A-93BD50B8424D}">
  <ds:schemaRefs/>
</ds:datastoreItem>
</file>

<file path=customXml/itemProps3.xml><?xml version="1.0" encoding="utf-8"?>
<ds:datastoreItem xmlns:ds="http://schemas.openxmlformats.org/officeDocument/2006/customXml" ds:itemID="{E4360139-099A-4991-A0E3-343AAA464F9D}">
  <ds:schemaRefs/>
</ds:datastoreItem>
</file>

<file path=customXml/itemProps4.xml><?xml version="1.0" encoding="utf-8"?>
<ds:datastoreItem xmlns:ds="http://schemas.openxmlformats.org/officeDocument/2006/customXml" ds:itemID="{01526240-E8B7-451E-9FF2-EABAE9DD63F8}">
  <ds:schemaRefs/>
</ds:datastoreItem>
</file>

<file path=customXml/itemProps5.xml><?xml version="1.0" encoding="utf-8"?>
<ds:datastoreItem xmlns:ds="http://schemas.openxmlformats.org/officeDocument/2006/customXml" ds:itemID="{EA4EF664-5182-4DDA-B63D-47223534FC26}">
  <ds:schemaRefs/>
</ds:datastoreItem>
</file>

<file path=customXml/itemProps6.xml><?xml version="1.0" encoding="utf-8"?>
<ds:datastoreItem xmlns:ds="http://schemas.openxmlformats.org/officeDocument/2006/customXml" ds:itemID="{EF4464C2-CC0B-4BAA-B635-41139682138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SourceData</vt:lpstr>
      <vt:lpstr>Bills</vt:lpstr>
      <vt:lpstr>BillsSummary by Date</vt:lpstr>
      <vt:lpstr>Transport</vt:lpstr>
      <vt:lpstr>Pettycash</vt:lpstr>
      <vt:lpstr>Meals</vt:lpstr>
      <vt:lpstr>PivotChart</vt:lpstr>
      <vt:lpstr>PivotReport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2026-10-22T13:02:32Z</cp:lastPrinted>
  <dcterms:created xsi:type="dcterms:W3CDTF">2026-10-12T10:20:26Z</dcterms:created>
  <dcterms:modified xsi:type="dcterms:W3CDTF">2026-10-22T13:23:11Z</dcterms:modified>
</cp:coreProperties>
</file>